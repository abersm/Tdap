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michaelabers/Desktop/R packages/Tdap/data-raw/"/>
    </mc:Choice>
  </mc:AlternateContent>
  <xr:revisionPtr revIDLastSave="0" documentId="13_ncr:1_{C2512358-269D-6942-8FB6-563CBF3D0BD7}" xr6:coauthVersionLast="47" xr6:coauthVersionMax="47" xr10:uidLastSave="{00000000-0000-0000-0000-000000000000}"/>
  <bookViews>
    <workbookView xWindow="0" yWindow="660" windowWidth="30240" windowHeight="17060" xr2:uid="{00000000-000D-0000-FFFF-FFFF00000000}"/>
  </bookViews>
  <sheets>
    <sheet name="Characteristics" sheetId="1" r:id="rId1"/>
    <sheet name="Effectiveness" sheetId="2" r:id="rId2"/>
    <sheet name="Safety - Adults" sheetId="3" r:id="rId3"/>
    <sheet name="Safety - Infant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2FuH0Zw5SSYTe6io3uuIa5SPfZ8LpCvVbmmIRJ5y88E="/>
    </ext>
  </extLst>
</workbook>
</file>

<file path=xl/calcChain.xml><?xml version="1.0" encoding="utf-8"?>
<calcChain xmlns="http://schemas.openxmlformats.org/spreadsheetml/2006/main">
  <c r="J59" i="4" l="1"/>
  <c r="P59" i="4" s="1"/>
  <c r="V59" i="4" s="1"/>
  <c r="AA59" i="4" s="1"/>
  <c r="AG59" i="4" s="1"/>
  <c r="AM59" i="4" s="1"/>
  <c r="I59" i="4"/>
  <c r="O59" i="4" s="1"/>
  <c r="U59" i="4" s="1"/>
  <c r="Z59" i="4" s="1"/>
  <c r="AF59" i="4" s="1"/>
  <c r="AL59" i="4" s="1"/>
  <c r="O58" i="4"/>
  <c r="U58" i="4" s="1"/>
  <c r="Z58" i="4" s="1"/>
  <c r="AF58" i="4" s="1"/>
  <c r="AL58" i="4" s="1"/>
  <c r="J58" i="4"/>
  <c r="P58" i="4" s="1"/>
  <c r="V58" i="4" s="1"/>
  <c r="AA58" i="4" s="1"/>
  <c r="AG58" i="4" s="1"/>
  <c r="AM58" i="4" s="1"/>
  <c r="I58" i="4"/>
  <c r="AK36" i="4"/>
  <c r="V36" i="4"/>
  <c r="AA36" i="4" s="1"/>
  <c r="AG36" i="4" s="1"/>
  <c r="AM36" i="4" s="1"/>
  <c r="P36" i="4"/>
  <c r="N36" i="4"/>
  <c r="T36" i="4" s="1"/>
  <c r="J36" i="4"/>
  <c r="I36" i="4"/>
  <c r="O36" i="4" s="1"/>
  <c r="U36" i="4" s="1"/>
  <c r="Z36" i="4" s="1"/>
  <c r="AF36" i="4" s="1"/>
  <c r="AL36" i="4" s="1"/>
  <c r="AK35" i="4"/>
  <c r="N35" i="4"/>
  <c r="T35" i="4" s="1"/>
  <c r="J35" i="4"/>
  <c r="P35" i="4" s="1"/>
  <c r="V35" i="4" s="1"/>
  <c r="AA35" i="4" s="1"/>
  <c r="AG35" i="4" s="1"/>
  <c r="AM35" i="4" s="1"/>
  <c r="I35" i="4"/>
  <c r="O35" i="4" s="1"/>
  <c r="U35" i="4" s="1"/>
  <c r="Z35" i="4" s="1"/>
  <c r="AF35" i="4" s="1"/>
  <c r="AL35" i="4" s="1"/>
  <c r="AL32" i="4"/>
  <c r="Y32" i="4"/>
  <c r="AE32" i="4" s="1"/>
  <c r="AK32" i="4" s="1"/>
  <c r="AQ32" i="4" s="1"/>
  <c r="T32" i="4"/>
  <c r="N32" i="4"/>
  <c r="J32" i="4"/>
  <c r="P32" i="4" s="1"/>
  <c r="V32" i="4" s="1"/>
  <c r="AA32" i="4" s="1"/>
  <c r="AG32" i="4" s="1"/>
  <c r="AM32" i="4" s="1"/>
  <c r="I32" i="4"/>
  <c r="O32" i="4" s="1"/>
  <c r="U32" i="4" s="1"/>
  <c r="Z32" i="4" s="1"/>
  <c r="AF32" i="4" s="1"/>
  <c r="Q31" i="4"/>
  <c r="N31" i="4"/>
  <c r="T31" i="4" s="1"/>
  <c r="Y31" i="4" s="1"/>
  <c r="AE31" i="4" s="1"/>
  <c r="AK31" i="4" s="1"/>
  <c r="AQ31" i="4" s="1"/>
  <c r="D31" i="4"/>
  <c r="J31" i="4" s="1"/>
  <c r="P31" i="4" s="1"/>
  <c r="V31" i="4" s="1"/>
  <c r="AA31" i="4" s="1"/>
  <c r="AG31" i="4" s="1"/>
  <c r="AM31" i="4" s="1"/>
  <c r="AQ30" i="4"/>
  <c r="V30" i="4"/>
  <c r="AA30" i="4" s="1"/>
  <c r="AG30" i="4" s="1"/>
  <c r="AM30" i="4" s="1"/>
  <c r="P30" i="4"/>
  <c r="N30" i="4"/>
  <c r="T30" i="4" s="1"/>
  <c r="Y30" i="4" s="1"/>
  <c r="AE30" i="4" s="1"/>
  <c r="AK30" i="4" s="1"/>
  <c r="J30" i="4"/>
  <c r="AA29" i="4"/>
  <c r="AG29" i="4" s="1"/>
  <c r="AM29" i="4" s="1"/>
  <c r="T29" i="4"/>
  <c r="Y29" i="4" s="1"/>
  <c r="AE29" i="4" s="1"/>
  <c r="AK29" i="4" s="1"/>
  <c r="AQ29" i="4" s="1"/>
  <c r="N29" i="4"/>
  <c r="J29" i="4"/>
  <c r="P29" i="4" s="1"/>
  <c r="V29" i="4" s="1"/>
  <c r="V12" i="4"/>
  <c r="AA12" i="4" s="1"/>
  <c r="AG12" i="4" s="1"/>
  <c r="AM12" i="4" s="1"/>
  <c r="P12" i="4"/>
  <c r="O12" i="4"/>
  <c r="U12" i="4" s="1"/>
  <c r="Z12" i="4" s="1"/>
  <c r="AF12" i="4" s="1"/>
  <c r="AL12" i="4" s="1"/>
  <c r="J12" i="4"/>
  <c r="I12" i="4"/>
  <c r="AA11" i="4"/>
  <c r="AG11" i="4" s="1"/>
  <c r="AM11" i="4" s="1"/>
  <c r="J11" i="4"/>
  <c r="P11" i="4" s="1"/>
  <c r="V11" i="4" s="1"/>
  <c r="I11" i="4"/>
  <c r="O11" i="4" s="1"/>
  <c r="U11" i="4" s="1"/>
  <c r="Z11" i="4" s="1"/>
  <c r="AF11" i="4" s="1"/>
  <c r="AL11" i="4" s="1"/>
  <c r="BM84" i="3"/>
  <c r="BK84" i="3"/>
  <c r="AG84" i="3"/>
  <c r="AM84" i="3" s="1"/>
  <c r="AS84" i="3" s="1"/>
  <c r="AY84" i="3" s="1"/>
  <c r="BE84" i="3" s="1"/>
  <c r="J84" i="3"/>
  <c r="P84" i="3" s="1"/>
  <c r="V84" i="3" s="1"/>
  <c r="AB84" i="3" s="1"/>
  <c r="AH84" i="3" s="1"/>
  <c r="AN84" i="3" s="1"/>
  <c r="AT84" i="3" s="1"/>
  <c r="AZ84" i="3" s="1"/>
  <c r="BF84" i="3" s="1"/>
  <c r="BL84" i="3" s="1"/>
  <c r="I84" i="3"/>
  <c r="O84" i="3" s="1"/>
  <c r="U84" i="3" s="1"/>
  <c r="AA84" i="3" s="1"/>
  <c r="BM83" i="3"/>
  <c r="AH83" i="3"/>
  <c r="AN83" i="3" s="1"/>
  <c r="AT83" i="3" s="1"/>
  <c r="AZ83" i="3" s="1"/>
  <c r="BF83" i="3" s="1"/>
  <c r="BL83" i="3" s="1"/>
  <c r="O83" i="3"/>
  <c r="U83" i="3" s="1"/>
  <c r="AA83" i="3" s="1"/>
  <c r="AG83" i="3" s="1"/>
  <c r="AM83" i="3" s="1"/>
  <c r="AS83" i="3" s="1"/>
  <c r="AY83" i="3" s="1"/>
  <c r="BE83" i="3" s="1"/>
  <c r="BK83" i="3" s="1"/>
  <c r="J83" i="3"/>
  <c r="P83" i="3" s="1"/>
  <c r="V83" i="3" s="1"/>
  <c r="AB83" i="3" s="1"/>
  <c r="I83" i="3"/>
  <c r="B57" i="3"/>
  <c r="A57" i="3"/>
  <c r="U51" i="3"/>
  <c r="AA51" i="3" s="1"/>
  <c r="AG51" i="3" s="1"/>
  <c r="AM51" i="3" s="1"/>
  <c r="AS51" i="3" s="1"/>
  <c r="AY51" i="3" s="1"/>
  <c r="BE51" i="3" s="1"/>
  <c r="BK51" i="3" s="1"/>
  <c r="O51" i="3"/>
  <c r="J51" i="3"/>
  <c r="P51" i="3" s="1"/>
  <c r="V51" i="3" s="1"/>
  <c r="AB51" i="3" s="1"/>
  <c r="AH51" i="3" s="1"/>
  <c r="AN51" i="3" s="1"/>
  <c r="AT51" i="3" s="1"/>
  <c r="AZ51" i="3" s="1"/>
  <c r="BF51" i="3" s="1"/>
  <c r="BL51" i="3" s="1"/>
  <c r="I51" i="3"/>
  <c r="U50" i="3"/>
  <c r="AA50" i="3" s="1"/>
  <c r="AG50" i="3" s="1"/>
  <c r="AM50" i="3" s="1"/>
  <c r="AS50" i="3" s="1"/>
  <c r="AY50" i="3" s="1"/>
  <c r="BE50" i="3" s="1"/>
  <c r="BK50" i="3" s="1"/>
  <c r="O50" i="3"/>
  <c r="J50" i="3"/>
  <c r="P50" i="3" s="1"/>
  <c r="V50" i="3" s="1"/>
  <c r="AB50" i="3" s="1"/>
  <c r="AH50" i="3" s="1"/>
  <c r="AN50" i="3" s="1"/>
  <c r="AT50" i="3" s="1"/>
  <c r="AZ50" i="3" s="1"/>
  <c r="BF50" i="3" s="1"/>
  <c r="BL50" i="3" s="1"/>
  <c r="I50" i="3"/>
  <c r="AC49" i="3"/>
  <c r="AB49" i="3"/>
  <c r="AH49" i="3" s="1"/>
  <c r="AN49" i="3" s="1"/>
  <c r="AT49" i="3" s="1"/>
  <c r="AZ49" i="3" s="1"/>
  <c r="BF49" i="3" s="1"/>
  <c r="BL49" i="3" s="1"/>
  <c r="V49" i="3"/>
  <c r="P49" i="3"/>
  <c r="O49" i="3"/>
  <c r="U49" i="3" s="1"/>
  <c r="AA49" i="3" s="1"/>
  <c r="AG49" i="3" s="1"/>
  <c r="AM49" i="3" s="1"/>
  <c r="AS49" i="3" s="1"/>
  <c r="AY49" i="3" s="1"/>
  <c r="BE49" i="3" s="1"/>
  <c r="BK49" i="3" s="1"/>
  <c r="J49" i="3"/>
  <c r="I49" i="3"/>
  <c r="AC48" i="3"/>
  <c r="Z48" i="3"/>
  <c r="AF48" i="3" s="1"/>
  <c r="AL48" i="3" s="1"/>
  <c r="AR48" i="3" s="1"/>
  <c r="AX48" i="3" s="1"/>
  <c r="BD48" i="3" s="1"/>
  <c r="BJ48" i="3" s="1"/>
  <c r="BP48" i="3" s="1"/>
  <c r="W48" i="3"/>
  <c r="N48" i="3"/>
  <c r="T48" i="3" s="1"/>
  <c r="I48" i="3"/>
  <c r="O48" i="3" s="1"/>
  <c r="U48" i="3" s="1"/>
  <c r="AA48" i="3" s="1"/>
  <c r="AG48" i="3" s="1"/>
  <c r="AM48" i="3" s="1"/>
  <c r="AS48" i="3" s="1"/>
  <c r="AY48" i="3" s="1"/>
  <c r="BE48" i="3" s="1"/>
  <c r="BK48" i="3" s="1"/>
  <c r="D48" i="3"/>
  <c r="J48" i="3" s="1"/>
  <c r="P48" i="3" s="1"/>
  <c r="V48" i="3" s="1"/>
  <c r="AB48" i="3" s="1"/>
  <c r="AH48" i="3" s="1"/>
  <c r="AN48" i="3" s="1"/>
  <c r="AT48" i="3" s="1"/>
  <c r="AZ48" i="3" s="1"/>
  <c r="BF48" i="3" s="1"/>
  <c r="BL48" i="3" s="1"/>
  <c r="N47" i="3"/>
  <c r="T47" i="3" s="1"/>
  <c r="Z47" i="3" s="1"/>
  <c r="AF47" i="3" s="1"/>
  <c r="AL47" i="3" s="1"/>
  <c r="AR47" i="3" s="1"/>
  <c r="AX47" i="3" s="1"/>
  <c r="BD47" i="3" s="1"/>
  <c r="BJ47" i="3" s="1"/>
  <c r="BP47" i="3" s="1"/>
  <c r="J47" i="3"/>
  <c r="P47" i="3" s="1"/>
  <c r="V47" i="3" s="1"/>
  <c r="AB47" i="3" s="1"/>
  <c r="AH47" i="3" s="1"/>
  <c r="AN47" i="3" s="1"/>
  <c r="AT47" i="3" s="1"/>
  <c r="AZ47" i="3" s="1"/>
  <c r="BF47" i="3" s="1"/>
  <c r="BL47" i="3" s="1"/>
  <c r="I47" i="3"/>
  <c r="O47" i="3" s="1"/>
  <c r="U47" i="3" s="1"/>
  <c r="AA47" i="3" s="1"/>
  <c r="AG47" i="3" s="1"/>
  <c r="AM47" i="3" s="1"/>
  <c r="AS47" i="3" s="1"/>
  <c r="AY47" i="3" s="1"/>
  <c r="BE47" i="3" s="1"/>
  <c r="BK47" i="3" s="1"/>
  <c r="AM46" i="3"/>
  <c r="AS46" i="3" s="1"/>
  <c r="AY46" i="3" s="1"/>
  <c r="BE46" i="3" s="1"/>
  <c r="BK46" i="3" s="1"/>
  <c r="AG46" i="3"/>
  <c r="AB46" i="3"/>
  <c r="AH46" i="3" s="1"/>
  <c r="AN46" i="3" s="1"/>
  <c r="AT46" i="3" s="1"/>
  <c r="AZ46" i="3" s="1"/>
  <c r="BF46" i="3" s="1"/>
  <c r="BL46" i="3" s="1"/>
  <c r="T46" i="3"/>
  <c r="Z46" i="3" s="1"/>
  <c r="AF46" i="3" s="1"/>
  <c r="AL46" i="3" s="1"/>
  <c r="AR46" i="3" s="1"/>
  <c r="AX46" i="3" s="1"/>
  <c r="BD46" i="3" s="1"/>
  <c r="BJ46" i="3" s="1"/>
  <c r="BP46" i="3" s="1"/>
  <c r="N46" i="3"/>
  <c r="J46" i="3"/>
  <c r="P46" i="3" s="1"/>
  <c r="V46" i="3" s="1"/>
  <c r="I46" i="3"/>
  <c r="O46" i="3" s="1"/>
  <c r="U46" i="3" s="1"/>
  <c r="AA46" i="3" s="1"/>
  <c r="AR45" i="3"/>
  <c r="Z45" i="3"/>
  <c r="O45" i="3"/>
  <c r="U45" i="3" s="1"/>
  <c r="AA45" i="3" s="1"/>
  <c r="AG45" i="3" s="1"/>
  <c r="AM45" i="3" s="1"/>
  <c r="AS45" i="3" s="1"/>
  <c r="AY45" i="3" s="1"/>
  <c r="BE45" i="3" s="1"/>
  <c r="BK45" i="3" s="1"/>
  <c r="I45" i="3"/>
  <c r="D45" i="3"/>
  <c r="J45" i="3" s="1"/>
  <c r="P45" i="3" s="1"/>
  <c r="V45" i="3" s="1"/>
  <c r="AB45" i="3" s="1"/>
  <c r="AH45" i="3" s="1"/>
  <c r="AN45" i="3" s="1"/>
  <c r="AT45" i="3" s="1"/>
  <c r="AZ45" i="3" s="1"/>
  <c r="BF45" i="3" s="1"/>
  <c r="BL45" i="3" s="1"/>
  <c r="AT44" i="3"/>
  <c r="AZ44" i="3" s="1"/>
  <c r="BF44" i="3" s="1"/>
  <c r="BL44" i="3" s="1"/>
  <c r="AR44" i="3"/>
  <c r="AH44" i="3"/>
  <c r="AN44" i="3" s="1"/>
  <c r="Z44" i="3"/>
  <c r="J44" i="3"/>
  <c r="P44" i="3" s="1"/>
  <c r="V44" i="3" s="1"/>
  <c r="AB44" i="3" s="1"/>
  <c r="D44" i="3"/>
  <c r="AR43" i="3"/>
  <c r="AN43" i="3"/>
  <c r="AT43" i="3" s="1"/>
  <c r="AZ43" i="3" s="1"/>
  <c r="BF43" i="3" s="1"/>
  <c r="BL43" i="3" s="1"/>
  <c r="Z43" i="3"/>
  <c r="P43" i="3"/>
  <c r="V43" i="3" s="1"/>
  <c r="AB43" i="3" s="1"/>
  <c r="AH43" i="3" s="1"/>
  <c r="J43" i="3"/>
  <c r="D43" i="3"/>
  <c r="AL28" i="3"/>
  <c r="AR28" i="3" s="1"/>
  <c r="AX28" i="3" s="1"/>
  <c r="BD28" i="3" s="1"/>
  <c r="BJ28" i="3" s="1"/>
  <c r="BP28" i="3" s="1"/>
  <c r="AF28" i="3"/>
  <c r="V28" i="3"/>
  <c r="AB28" i="3" s="1"/>
  <c r="AH28" i="3" s="1"/>
  <c r="AN28" i="3" s="1"/>
  <c r="AT28" i="3" s="1"/>
  <c r="AZ28" i="3" s="1"/>
  <c r="BF28" i="3" s="1"/>
  <c r="BL28" i="3" s="1"/>
  <c r="P28" i="3"/>
  <c r="N28" i="3"/>
  <c r="T28" i="3" s="1"/>
  <c r="Z28" i="3" s="1"/>
  <c r="J28" i="3"/>
  <c r="AF27" i="3"/>
  <c r="AL27" i="3" s="1"/>
  <c r="AR27" i="3" s="1"/>
  <c r="AX27" i="3" s="1"/>
  <c r="BD27" i="3" s="1"/>
  <c r="BJ27" i="3" s="1"/>
  <c r="BP27" i="3" s="1"/>
  <c r="P27" i="3"/>
  <c r="V27" i="3" s="1"/>
  <c r="AB27" i="3" s="1"/>
  <c r="AH27" i="3" s="1"/>
  <c r="AN27" i="3" s="1"/>
  <c r="AT27" i="3" s="1"/>
  <c r="AZ27" i="3" s="1"/>
  <c r="BF27" i="3" s="1"/>
  <c r="BL27" i="3" s="1"/>
  <c r="N27" i="3"/>
  <c r="T27" i="3" s="1"/>
  <c r="Z27" i="3" s="1"/>
  <c r="J27" i="3"/>
  <c r="P26" i="3"/>
  <c r="V26" i="3" s="1"/>
  <c r="AB26" i="3" s="1"/>
  <c r="AH26" i="3" s="1"/>
  <c r="AN26" i="3" s="1"/>
  <c r="AT26" i="3" s="1"/>
  <c r="AZ26" i="3" s="1"/>
  <c r="BF26" i="3" s="1"/>
  <c r="BL26" i="3" s="1"/>
  <c r="N26" i="3"/>
  <c r="T26" i="3" s="1"/>
  <c r="Z26" i="3" s="1"/>
  <c r="AF26" i="3" s="1"/>
  <c r="AL26" i="3" s="1"/>
  <c r="AR26" i="3" s="1"/>
  <c r="AX26" i="3" s="1"/>
  <c r="BD26" i="3" s="1"/>
  <c r="BJ26" i="3" s="1"/>
  <c r="BP26" i="3" s="1"/>
  <c r="J26" i="3"/>
  <c r="AR25" i="3"/>
  <c r="AX25" i="3" s="1"/>
  <c r="BD25" i="3" s="1"/>
  <c r="BJ25" i="3" s="1"/>
  <c r="BP25" i="3" s="1"/>
  <c r="Z25" i="3"/>
  <c r="T25" i="3"/>
  <c r="N25" i="3"/>
  <c r="J25" i="3"/>
  <c r="P25" i="3" s="1"/>
  <c r="V25" i="3" s="1"/>
  <c r="AB25" i="3" s="1"/>
  <c r="AH25" i="3" s="1"/>
  <c r="AN25" i="3" s="1"/>
  <c r="AT25" i="3" s="1"/>
  <c r="AZ25" i="3" s="1"/>
  <c r="BF25" i="3" s="1"/>
  <c r="BL25" i="3" s="1"/>
  <c r="AA24" i="3"/>
  <c r="AG24" i="3" s="1"/>
  <c r="AM24" i="3" s="1"/>
  <c r="AS24" i="3" s="1"/>
  <c r="AY24" i="3" s="1"/>
  <c r="BE24" i="3" s="1"/>
  <c r="BK24" i="3" s="1"/>
  <c r="V24" i="3"/>
  <c r="AB24" i="3" s="1"/>
  <c r="AH24" i="3" s="1"/>
  <c r="AN24" i="3" s="1"/>
  <c r="AT24" i="3" s="1"/>
  <c r="AZ24" i="3" s="1"/>
  <c r="BF24" i="3" s="1"/>
  <c r="BL24" i="3" s="1"/>
  <c r="N24" i="3"/>
  <c r="T24" i="3" s="1"/>
  <c r="Z24" i="3" s="1"/>
  <c r="AF24" i="3" s="1"/>
  <c r="AL24" i="3" s="1"/>
  <c r="AR24" i="3" s="1"/>
  <c r="AX24" i="3" s="1"/>
  <c r="BD24" i="3" s="1"/>
  <c r="BJ24" i="3" s="1"/>
  <c r="BP24" i="3" s="1"/>
  <c r="J24" i="3"/>
  <c r="P24" i="3" s="1"/>
  <c r="I24" i="3"/>
  <c r="O24" i="3" s="1"/>
  <c r="U24" i="3" s="1"/>
  <c r="BA23" i="3"/>
  <c r="AU23" i="3"/>
  <c r="AC23" i="3"/>
  <c r="Z23" i="3"/>
  <c r="AF23" i="3" s="1"/>
  <c r="AL23" i="3" s="1"/>
  <c r="AR23" i="3" s="1"/>
  <c r="AX23" i="3" s="1"/>
  <c r="BD23" i="3" s="1"/>
  <c r="BJ23" i="3" s="1"/>
  <c r="BP23" i="3" s="1"/>
  <c r="W23" i="3"/>
  <c r="U23" i="3"/>
  <c r="AA23" i="3" s="1"/>
  <c r="AG23" i="3" s="1"/>
  <c r="AM23" i="3" s="1"/>
  <c r="AS23" i="3" s="1"/>
  <c r="AY23" i="3" s="1"/>
  <c r="BE23" i="3" s="1"/>
  <c r="BK23" i="3" s="1"/>
  <c r="Q23" i="3"/>
  <c r="N23" i="3"/>
  <c r="T23" i="3" s="1"/>
  <c r="I23" i="3"/>
  <c r="O23" i="3" s="1"/>
  <c r="E23" i="3"/>
  <c r="D23" i="3"/>
  <c r="J23" i="3" s="1"/>
  <c r="P23" i="3" s="1"/>
  <c r="V23" i="3" s="1"/>
  <c r="AB23" i="3" s="1"/>
  <c r="AH23" i="3" s="1"/>
  <c r="AN23" i="3" s="1"/>
  <c r="AT23" i="3" s="1"/>
  <c r="AZ23" i="3" s="1"/>
  <c r="BF23" i="3" s="1"/>
  <c r="BL23" i="3" s="1"/>
  <c r="U22" i="3"/>
  <c r="AA22" i="3" s="1"/>
  <c r="AG22" i="3" s="1"/>
  <c r="AM22" i="3" s="1"/>
  <c r="AS22" i="3" s="1"/>
  <c r="AY22" i="3" s="1"/>
  <c r="BE22" i="3" s="1"/>
  <c r="BK22" i="3" s="1"/>
  <c r="P22" i="3"/>
  <c r="V22" i="3" s="1"/>
  <c r="AB22" i="3" s="1"/>
  <c r="AH22" i="3" s="1"/>
  <c r="AN22" i="3" s="1"/>
  <c r="AT22" i="3" s="1"/>
  <c r="AZ22" i="3" s="1"/>
  <c r="BF22" i="3" s="1"/>
  <c r="BL22" i="3" s="1"/>
  <c r="N22" i="3"/>
  <c r="T22" i="3" s="1"/>
  <c r="Z22" i="3" s="1"/>
  <c r="AF22" i="3" s="1"/>
  <c r="AL22" i="3" s="1"/>
  <c r="AR22" i="3" s="1"/>
  <c r="AX22" i="3" s="1"/>
  <c r="BD22" i="3" s="1"/>
  <c r="BJ22" i="3" s="1"/>
  <c r="BP22" i="3" s="1"/>
  <c r="J22" i="3"/>
  <c r="I22" i="3"/>
  <c r="O22" i="3" s="1"/>
  <c r="P21" i="3"/>
  <c r="V21" i="3" s="1"/>
  <c r="AB21" i="3" s="1"/>
  <c r="AH21" i="3" s="1"/>
  <c r="AN21" i="3" s="1"/>
  <c r="AT21" i="3" s="1"/>
  <c r="AZ21" i="3" s="1"/>
  <c r="BF21" i="3" s="1"/>
  <c r="BL21" i="3" s="1"/>
  <c r="N21" i="3"/>
  <c r="T21" i="3" s="1"/>
  <c r="Z21" i="3" s="1"/>
  <c r="AF21" i="3" s="1"/>
  <c r="AL21" i="3" s="1"/>
  <c r="AR21" i="3" s="1"/>
  <c r="AX21" i="3" s="1"/>
  <c r="BD21" i="3" s="1"/>
  <c r="BJ21" i="3" s="1"/>
  <c r="BP21" i="3" s="1"/>
  <c r="J21" i="3"/>
  <c r="I21" i="3"/>
  <c r="O21" i="3" s="1"/>
  <c r="U21" i="3" s="1"/>
  <c r="AA21" i="3" s="1"/>
  <c r="AG21" i="3" s="1"/>
  <c r="AM21" i="3" s="1"/>
  <c r="AS21" i="3" s="1"/>
  <c r="AY21" i="3" s="1"/>
  <c r="BE21" i="3" s="1"/>
  <c r="BK21" i="3" s="1"/>
  <c r="AB16" i="3"/>
  <c r="AH16" i="3" s="1"/>
  <c r="AN16" i="3" s="1"/>
  <c r="AT16" i="3" s="1"/>
  <c r="AZ16" i="3" s="1"/>
  <c r="BF16" i="3" s="1"/>
  <c r="BL16" i="3" s="1"/>
  <c r="V16" i="3"/>
  <c r="U16" i="3"/>
  <c r="AA16" i="3" s="1"/>
  <c r="AG16" i="3" s="1"/>
  <c r="AM16" i="3" s="1"/>
  <c r="AS16" i="3" s="1"/>
  <c r="AY16" i="3" s="1"/>
  <c r="BE16" i="3" s="1"/>
  <c r="BK16" i="3" s="1"/>
  <c r="P16" i="3"/>
  <c r="O16" i="3"/>
  <c r="J16" i="3"/>
  <c r="I16" i="3"/>
  <c r="AB15" i="3"/>
  <c r="AH15" i="3" s="1"/>
  <c r="AN15" i="3" s="1"/>
  <c r="AT15" i="3" s="1"/>
  <c r="AZ15" i="3" s="1"/>
  <c r="BF15" i="3" s="1"/>
  <c r="BL15" i="3" s="1"/>
  <c r="V15" i="3"/>
  <c r="P15" i="3"/>
  <c r="O15" i="3"/>
  <c r="U15" i="3" s="1"/>
  <c r="AA15" i="3" s="1"/>
  <c r="AG15" i="3" s="1"/>
  <c r="AM15" i="3" s="1"/>
  <c r="AS15" i="3" s="1"/>
  <c r="AY15" i="3" s="1"/>
  <c r="BE15" i="3" s="1"/>
  <c r="BK15" i="3" s="1"/>
  <c r="J15" i="3"/>
  <c r="I15" i="3"/>
  <c r="AB12" i="3"/>
  <c r="AH12" i="3" s="1"/>
  <c r="AN12" i="3" s="1"/>
  <c r="AT12" i="3" s="1"/>
  <c r="AZ12" i="3" s="1"/>
  <c r="BF12" i="3" s="1"/>
  <c r="BL12" i="3" s="1"/>
  <c r="V12" i="3"/>
  <c r="P12" i="3"/>
  <c r="O12" i="3"/>
  <c r="U12" i="3" s="1"/>
  <c r="AA12" i="3" s="1"/>
  <c r="AG12" i="3" s="1"/>
  <c r="AM12" i="3" s="1"/>
  <c r="AS12" i="3" s="1"/>
  <c r="AY12" i="3" s="1"/>
  <c r="BE12" i="3" s="1"/>
  <c r="BK12" i="3" s="1"/>
  <c r="J12" i="3"/>
  <c r="I12" i="3"/>
  <c r="AB11" i="3"/>
  <c r="AH11" i="3" s="1"/>
  <c r="AN11" i="3" s="1"/>
  <c r="AT11" i="3" s="1"/>
  <c r="AZ11" i="3" s="1"/>
  <c r="BF11" i="3" s="1"/>
  <c r="BL11" i="3" s="1"/>
  <c r="V11" i="3"/>
  <c r="P11" i="3"/>
  <c r="O11" i="3"/>
  <c r="U11" i="3" s="1"/>
  <c r="AA11" i="3" s="1"/>
  <c r="AG11" i="3" s="1"/>
  <c r="AM11" i="3" s="1"/>
  <c r="AS11" i="3" s="1"/>
  <c r="AY11" i="3" s="1"/>
  <c r="BE11" i="3" s="1"/>
  <c r="BK11" i="3" s="1"/>
  <c r="J11" i="3"/>
  <c r="I11" i="3"/>
  <c r="AC98" i="2"/>
  <c r="AB98" i="2"/>
  <c r="AG98" i="2" s="1"/>
  <c r="AL98" i="2" s="1"/>
  <c r="X98" i="2"/>
  <c r="W98" i="2"/>
  <c r="N98" i="2"/>
  <c r="I98" i="2"/>
  <c r="H98" i="2"/>
  <c r="M98" i="2" s="1"/>
  <c r="R98" i="2" s="1"/>
  <c r="X97" i="2"/>
  <c r="N97" i="2"/>
  <c r="I97" i="2"/>
  <c r="H97" i="2"/>
  <c r="M97" i="2" s="1"/>
  <c r="R97" i="2" s="1"/>
  <c r="W97" i="2" s="1"/>
  <c r="AB97" i="2" s="1"/>
  <c r="AG97" i="2" s="1"/>
  <c r="AL97" i="2" s="1"/>
  <c r="M96" i="2"/>
  <c r="R96" i="2" s="1"/>
  <c r="W96" i="2" s="1"/>
  <c r="AB96" i="2" s="1"/>
  <c r="AG96" i="2" s="1"/>
  <c r="AL96" i="2" s="1"/>
  <c r="I96" i="2"/>
  <c r="N96" i="2" s="1"/>
  <c r="S96" i="2" s="1"/>
  <c r="X96" i="2" s="1"/>
  <c r="AC96" i="2" s="1"/>
  <c r="AH96" i="2" s="1"/>
  <c r="AM96" i="2" s="1"/>
  <c r="H96" i="2"/>
  <c r="M95" i="2"/>
  <c r="R95" i="2" s="1"/>
  <c r="W95" i="2" s="1"/>
  <c r="AB95" i="2" s="1"/>
  <c r="AG95" i="2" s="1"/>
  <c r="AL95" i="2" s="1"/>
  <c r="I95" i="2"/>
  <c r="N95" i="2" s="1"/>
  <c r="S95" i="2" s="1"/>
  <c r="X95" i="2" s="1"/>
  <c r="AC95" i="2" s="1"/>
  <c r="AH95" i="2" s="1"/>
  <c r="AM95" i="2" s="1"/>
  <c r="H95" i="2"/>
  <c r="Q61" i="2"/>
  <c r="V61" i="2" s="1"/>
  <c r="AA61" i="2" s="1"/>
  <c r="AF61" i="2" s="1"/>
  <c r="AK61" i="2" s="1"/>
  <c r="AP61" i="2" s="1"/>
  <c r="N61" i="2"/>
  <c r="S61" i="2" s="1"/>
  <c r="X61" i="2" s="1"/>
  <c r="AC61" i="2" s="1"/>
  <c r="AH61" i="2" s="1"/>
  <c r="AM61" i="2" s="1"/>
  <c r="L61" i="2"/>
  <c r="I61" i="2"/>
  <c r="AA60" i="2"/>
  <c r="AF60" i="2" s="1"/>
  <c r="AK60" i="2" s="1"/>
  <c r="AP60" i="2" s="1"/>
  <c r="V60" i="2"/>
  <c r="N60" i="2"/>
  <c r="S60" i="2" s="1"/>
  <c r="X60" i="2" s="1"/>
  <c r="AC60" i="2" s="1"/>
  <c r="AH60" i="2" s="1"/>
  <c r="AM60" i="2" s="1"/>
  <c r="I60" i="2"/>
  <c r="X59" i="2"/>
  <c r="AC59" i="2" s="1"/>
  <c r="AH59" i="2" s="1"/>
  <c r="AM59" i="2" s="1"/>
  <c r="V59" i="2"/>
  <c r="AA59" i="2" s="1"/>
  <c r="AF59" i="2" s="1"/>
  <c r="AK59" i="2" s="1"/>
  <c r="AP59" i="2" s="1"/>
  <c r="S59" i="2"/>
  <c r="Q59" i="2"/>
  <c r="N59" i="2"/>
  <c r="L59" i="2"/>
  <c r="I59" i="2"/>
  <c r="Q58" i="2"/>
  <c r="V58" i="2" s="1"/>
  <c r="AA58" i="2" s="1"/>
  <c r="AF58" i="2" s="1"/>
  <c r="AK58" i="2" s="1"/>
  <c r="AP58" i="2" s="1"/>
  <c r="L58" i="2"/>
  <c r="I58" i="2"/>
  <c r="N58" i="2" s="1"/>
  <c r="S58" i="2" s="1"/>
  <c r="X58" i="2" s="1"/>
  <c r="AC58" i="2" s="1"/>
  <c r="AH58" i="2" s="1"/>
  <c r="AM58" i="2" s="1"/>
  <c r="I44" i="2"/>
  <c r="N44" i="2" s="1"/>
  <c r="S44" i="2" s="1"/>
  <c r="X44" i="2" s="1"/>
  <c r="AC44" i="2" s="1"/>
  <c r="AH44" i="2" s="1"/>
  <c r="AM44" i="2" s="1"/>
  <c r="H44" i="2"/>
  <c r="M44" i="2" s="1"/>
  <c r="R44" i="2" s="1"/>
  <c r="W44" i="2" s="1"/>
  <c r="AB44" i="2" s="1"/>
  <c r="AG44" i="2" s="1"/>
  <c r="AL44" i="2" s="1"/>
  <c r="R43" i="2"/>
  <c r="W43" i="2" s="1"/>
  <c r="AB43" i="2" s="1"/>
  <c r="AG43" i="2" s="1"/>
  <c r="AL43" i="2" s="1"/>
  <c r="M43" i="2"/>
  <c r="I43" i="2"/>
  <c r="N43" i="2" s="1"/>
  <c r="S43" i="2" s="1"/>
  <c r="X43" i="2" s="1"/>
  <c r="AC43" i="2" s="1"/>
  <c r="H43" i="2"/>
  <c r="AH42" i="2"/>
  <c r="AC42" i="2"/>
  <c r="W90" i="1"/>
  <c r="W89" i="1"/>
  <c r="AB64" i="1"/>
  <c r="W63" i="1"/>
  <c r="AB62" i="1"/>
  <c r="AB61" i="1"/>
  <c r="AB63" i="1" s="1"/>
  <c r="W54" i="1"/>
  <c r="AD22" i="1"/>
  <c r="W22" i="1"/>
  <c r="AD21" i="1"/>
  <c r="W21" i="1"/>
</calcChain>
</file>

<file path=xl/sharedStrings.xml><?xml version="1.0" encoding="utf-8"?>
<sst xmlns="http://schemas.openxmlformats.org/spreadsheetml/2006/main" count="10535" uniqueCount="2113">
  <si>
    <t>ID#</t>
  </si>
  <si>
    <t>First Author &amp; Year</t>
  </si>
  <si>
    <t>Study Characteristics</t>
  </si>
  <si>
    <t>Study Characteristics - NEW INFO</t>
  </si>
  <si>
    <t>TOTAL Population Characteristics</t>
  </si>
  <si>
    <t>STUDY GROUP Population Characteristics</t>
  </si>
  <si>
    <t>Intervention/Exposure &amp; Comparator Characteristics</t>
  </si>
  <si>
    <t>Study Design</t>
  </si>
  <si>
    <t>Vaccine Type</t>
  </si>
  <si>
    <t>Vaccine Trade Name (Manufacturer)</t>
  </si>
  <si>
    <t>Data Source(s)</t>
  </si>
  <si>
    <t>Study Period (MM/YYYY - MM/YYYY)</t>
  </si>
  <si>
    <t>Effectiveness / Efficacy Outcomes Reported (list all)</t>
  </si>
  <si>
    <t>Safety Outcomes Reported (list all)</t>
  </si>
  <si>
    <t>Country</t>
  </si>
  <si>
    <t>Study Eligibility Criteria (inclusion / exclusion)</t>
  </si>
  <si>
    <t>Duration of Follow-up</t>
  </si>
  <si>
    <t>Proocol # or Trial Registration # (if reported)</t>
  </si>
  <si>
    <t>Funding Source</t>
  </si>
  <si>
    <t>Total sample size (N)</t>
  </si>
  <si>
    <t>Age
(mean/median (SD or IQR))</t>
  </si>
  <si>
    <t>Gestational age at vaccination</t>
  </si>
  <si>
    <t>Co-occurring health conditions (e.g., hypertension, HIV)</t>
  </si>
  <si>
    <t>History of smoking, alcohol use, other substance use</t>
  </si>
  <si>
    <t>Prior pregnancy</t>
  </si>
  <si>
    <t>Healthcare history (prenatal care and/or insurance status)</t>
  </si>
  <si>
    <t>Study group name</t>
  </si>
  <si>
    <t>Sample in each study group (n)</t>
  </si>
  <si>
    <t>Description of intervention or exposure</t>
  </si>
  <si>
    <t>Gestational age at vaccination per study protocol (if applicable)</t>
  </si>
  <si>
    <t>Co-administered vaccines (if any)</t>
  </si>
  <si>
    <t>Bellido-Blasco 2017</t>
  </si>
  <si>
    <t>NRS - comparative</t>
  </si>
  <si>
    <t>Tdap</t>
  </si>
  <si>
    <t>NR</t>
  </si>
  <si>
    <t>AVE, Análisis de Vigilancia Epidemiológica</t>
  </si>
  <si>
    <t>03/2015-02/2016</t>
  </si>
  <si>
    <t>Vaccine efficiency</t>
  </si>
  <si>
    <t>ES</t>
  </si>
  <si>
    <t>All unvaccinated pertussis infants notified in the Valencian Community during the study period had been PCR-laboratory-confirmed. Cases were defined as unvaccinated infants less than 3 months-old, with pertussis microbiological confirmation by PCR. "For every case three paired controls by age, with an age difference of less than 15 days, were included." "Absence of whooping cough in controls was confirmed by checking clinical records and by phone interviews with parents and paediatricians/family doctors. The children with any previous episodes of cough and bronchiolitis were excluded."</t>
  </si>
  <si>
    <t>88 unvaccinted infants (case-control)</t>
  </si>
  <si>
    <t>33.2 y</t>
  </si>
  <si>
    <t>28-36w</t>
  </si>
  <si>
    <t>Smoking: 11/88</t>
  </si>
  <si>
    <t>Case-control study: unknown vaccination protocols.</t>
  </si>
  <si>
    <t>Bellido-Blasco 2018</t>
  </si>
  <si>
    <t>No Tdap</t>
  </si>
  <si>
    <t>Chong 2022</t>
  </si>
  <si>
    <t>Boostrix TM (Rixensart, GlaxoSmithKline Biologicals)</t>
  </si>
  <si>
    <t>Clinical and microbiological data from hospital inpatients at KK Women’s and Children’s Hospital (KKH), a tertiary specialist hospital in Singapore</t>
  </si>
  <si>
    <t>2018 - 2019</t>
  </si>
  <si>
    <t>Vaccine effectiveness of maternal Tdap for pertussis infection and ICU admission</t>
  </si>
  <si>
    <t>Singapore</t>
  </si>
  <si>
    <t>Children &lt;4 years old and admitted for acute respiratory infection to KKH from 2018 to 2019. Patients who tested positive for Bordetella pertussis were defined as cases, those with negative results for B. pertussis as controls. Patients were excluded if they were 4 years old or not admitted for acute respiratory infection.</t>
  </si>
  <si>
    <t>2-3 years</t>
  </si>
  <si>
    <t>NA</t>
  </si>
  <si>
    <t>This research did not receive any specific grant from funding agencies in the public, commercial, or not-for-profit sectors.</t>
  </si>
  <si>
    <t>58 children &lt;4 years old</t>
  </si>
  <si>
    <t>median 3 mo (IQR 1.5-4.56)</t>
  </si>
  <si>
    <t>median 28 wk (IQR 20-32)</t>
  </si>
  <si>
    <t>Vaccinated</t>
  </si>
  <si>
    <t>Maternal Tdap was counted as valid if it was given at least 2 weeks before delivery. Postnatal Tdap was not included as maternal Tdap.</t>
  </si>
  <si>
    <t>Unvaccinated</t>
  </si>
  <si>
    <t>Florea 2023</t>
  </si>
  <si>
    <t>Boostrix (GSK)</t>
  </si>
  <si>
    <t>Kaiser Permanente Southern California (KPSC) electronic health records; chart review for case confirmation; https://clinicaltrials.gov/study/NCT03463577 (The Safety of Boostrix Following Routine Immunization of Pregnant Women)</t>
  </si>
  <si>
    <t>Exposed: 01/2018-01/2019 (vaccinations); 
Unexposed historical: 01/2012-12/2014 (pregnancies);
NCT:2018/04 - 2020/08</t>
  </si>
  <si>
    <t>Preterm birth
Congenital anomalies of: eye, Ear, face, or neck, respiratory system, gastrointestinal system, genital organs, renal system, musculoskeletal system, integument, Nervous system, cardiovascular system, limb, Clefts</t>
  </si>
  <si>
    <t>USA</t>
  </si>
  <si>
    <t>The study included pregnant Kaiser Permanente Southern California members. Women who received the Tdap vaccine on or after the 27th week of pregnancy between January 2018 and January 2019 were matched to women who were pregnant between January 2012 and December 2014 and were not vaccinated with Tdap during pregnancy.</t>
  </si>
  <si>
    <t>Analytical follow-up began on the date each exposed pregnant woman received the Tdap vaccine, or on the index date for the unvaccinated comparator, and ended on the date of disenrollment, at each event of interest, or at the end of pregnancy, whichever came first.</t>
  </si>
  <si>
    <t>NCT03463577</t>
  </si>
  <si>
    <t>This research was funded by GlaxoSmithKline Biologicals S.A. The journal’s Rapid Service Fee was funded by GlaxoSmithKline Biologicals S.A.</t>
  </si>
  <si>
    <t>33,212 mother-infant pairs</t>
  </si>
  <si>
    <t>mean 29.6 yr (SD 5.54)</t>
  </si>
  <si>
    <t>Gestational age in weeks at index (vaccination) date
27–30: 22,674
31–36: 9,370
&gt;=37: 1,168</t>
  </si>
  <si>
    <t>Thyroiditis: 549
Diabetes: 3,706
Other autoimmune diseases: 125
Cardiac diseases: 27
Pre-pregnancy obesity (Body mass index &gt; 40 within 6 months prior to pregnancy start): 1,191
Pre-existing hypertension: 1,087
HIV infection: 11</t>
  </si>
  <si>
    <t>Current smoker
Yes: 3,200
No: 30,012
Alcohol use
Yes: 11,039
No: 22,173</t>
  </si>
  <si>
    <t>Number of previous pregnancies
0: 8,856
1: 9,311
&gt;=2: 13,793
History of pregnancy loss
Yes: 12,033
No: 18,410</t>
  </si>
  <si>
    <t>Medicaid insurance
Yes: 3,517
No: 29,695
Number of outpatient visits from pregnancy start to index (vaccination) date
0–4: 1,276
5–12: 22,124
&gt;=13: 9,812</t>
  </si>
  <si>
    <t>mean 29.6 yr (SD 5.50)</t>
  </si>
  <si>
    <t>Gestational age in weeks at index (vaccination) date
27–30: 11,337
31–36: 4,685
&gt;=37: 584</t>
  </si>
  <si>
    <t>Thyroiditis: 177
Diabetes: 1,857
Other autoimmune diseases: 64
Cardiac diseases: 12
Pre-pregnancy obesity (Body mass index &gt; 40 within 6 months prior to pregnancy start): 653
Pre-existing hypertension: 563
HIV infection: 4</t>
  </si>
  <si>
    <t>Current smoker
Yes: 1,485
No: 15,121
Alcohol use
Yes: 5,602
No: 11,004</t>
  </si>
  <si>
    <t>Number of previous pregnancies
0: 4,907
1: 4,649
&gt;=2: 6,383
History of pregnancy loss
Yes: 5,980
No: 9,959</t>
  </si>
  <si>
    <t>Medicaid insurance
Yes: 2,200
No: 14,406
Number of outpatient visits from pregnancy start to index (vaccination) date
0–4: 555
5–12: 11,331
&gt;=13: 4,720</t>
  </si>
  <si>
    <t>Women who received the Tdap vaccine (Boostrix) at KPSC as routine care on or after the first day of the 27th week of pregnancy</t>
  </si>
  <si>
    <t>Received other vaccines
Yes: 9,869
No: 6,737
Among subjects with other vaccines: inactivated influenza vaccine (94.61%), hepatitis A/hepatitis B vaccine (0.64%), human papillomavirus vaccine (0.96%), and other (5.84%).</t>
  </si>
  <si>
    <t>mean 29.6 yr (SD 5.58)</t>
  </si>
  <si>
    <t>Thyroiditis: 372
Diabetes: 1,849
Other autoimmune diseases: 61
Cardiac diseases: 15
Pre-pregnancy obesity (Body mass index &gt; 40 within 6 months prior to pregnancy start): 538
Pre-existing hypertension: 524
HIV infection: 7</t>
  </si>
  <si>
    <t>Current smoker
Yes: 1,715
No: 14,891
Alcohol use
Yes: 5,437
No: 11,169</t>
  </si>
  <si>
    <t>Number of previous pregnancies
0: 3,949
1: 4,662
&gt;=2: 7,410
History of pregnancy loss
Yes: 6,053
No: 8,451</t>
  </si>
  <si>
    <t>Medicaid insurance
Yes: 1,317
No: 15,289
Number of outpatient visits from pregnancy start to index (vaccination) date
0–4: 721
5–12: 10,793
&gt;=13: 5,092</t>
  </si>
  <si>
    <t>Unexposed historical cohort consisting of women who were unvaccinated with any Tdap vaccine throughout their pregnancy.</t>
  </si>
  <si>
    <t>Received other vaccines
Yes: 5,520
No: 11,086
Among subjects with other vaccines: inactivated influenza vaccine (94.61%), hepatitis A/hepatitis B vaccine (0.64%), human papillomavirus vaccine (0.96%), and other (5.84%).</t>
  </si>
  <si>
    <t>Tseng 2022</t>
  </si>
  <si>
    <t>Kaiser Permanente Southern California (KPSC) electronic health record (EHR) from the outpatient, emergency department, and hospital settings.</t>
  </si>
  <si>
    <t>Exposed cohort: 01/2018 - 01-2019
Unexposed cohort: 01/2012 - 12/2014</t>
  </si>
  <si>
    <t>Preeclampsia/eclampsia, Intrauterine infection, Small for gestational age, Preterm delivery, Poor fetal growth, Placental abruption, Preterm pre-labor rupture of membranes (PPROM), Maternal death, Stillbirth/fetal death, With congenital anomalies, Neonatal death</t>
  </si>
  <si>
    <t>This research was funded by GlaxoSmithKline Biologicals S.A.</t>
  </si>
  <si>
    <t>Women who received the Tdap vaccine (Boostrix) as routine care on or after the 1st day of the 27th week of pregnancy</t>
  </si>
  <si>
    <t>Historical cohort of women who were pregnant and did not receive any Tdap vaccine throughout their pregnancy.</t>
  </si>
  <si>
    <t>Juscamayta-López 2023</t>
  </si>
  <si>
    <t>Clinical, Epidemiological, and Laboratory Investigation Form for Pertussis; national pertussis surveillance data submitted to Instituto Nacional de Salud de Peru (INS-Peru); vaccination records validated by the Oficina General de Tecnologías de la Información, Ministry of Health of Peru</t>
  </si>
  <si>
    <t>2019 - 2021</t>
  </si>
  <si>
    <t>pertussis infection, hospitalization</t>
  </si>
  <si>
    <t>Respiratory, thoracic and mediastinal disorders, Gastrointestinal disorders</t>
  </si>
  <si>
    <t>Peru</t>
  </si>
  <si>
    <t>The study population consisted of infants under 2 months of age with suspected pertussis treated in healthcare facilities nationwide. According to the national vaccination program, the first dose of the diphtheria, tetanus, pertussis, hepatitis B, and Haemophilus influenzae type B pentavalent combination vaccine (DTP-HvB-Hib) should be administered at 2 months of age, which is why this age was selected as the limit, because any protective effect of the DTP-HvB-Hib vaccine must be excluded.
Cases were defined as infants aged &lt;2 months, treated in healthcare facilities nationwide between 2019 and 2021, who were positive for B pertussis deoxyribonucleic acid (DNA) by multitarget quantitative PCR (qPCR) at INS-Peru. The inclusion criteria for the controls were as follows: infants &lt;2 months old, treated in healthcare facilities nationwide between 2019 and 2021, with negative multitarget qPCR results for DNA of B pertussis or other Bordetella species. Cases or controls were excluded from the analysis if the maternal Tdap vaccination status was unknown, they had been vaccinated with the first dose of DTP-HvB-Hib pentavalent combination vaccine, or if the B pertussis multitarget qPCR test was indeterminate. Cases and controls were included in the analysis according to the above-mentioned eligibility criteria and selected through the Clinical, Epidemiological, and Laboratory Investigation Form for Pertussis.</t>
  </si>
  <si>
    <t>This work was supported by the National Institute of Health of Peru . EJ-L is a completing an Epidemiological Research Doctorate at Universidad Peruana Cayetano Heredia under FONDECYT/CIENCIACTIVA Scholarship EF033-235-2015 and supported by Training Grant D43 TW007393, awarded by the Fogarty International Center of the US National Institutes of Health.</t>
  </si>
  <si>
    <t>200 infants</t>
  </si>
  <si>
    <t>median 42 days (IQR 11–61)</t>
  </si>
  <si>
    <t>Maternal Tdap vaccination during pregnancy</t>
  </si>
  <si>
    <t>No maternal Tdap vaccination during pregnancy</t>
  </si>
  <si>
    <t>Lima 2019</t>
  </si>
  <si>
    <t>Boostrix 
(GSK Biologicals, Rixensart, Bel-
gium)</t>
  </si>
  <si>
    <t>Could not find a data source.</t>
  </si>
  <si>
    <t>Antigen Levels
IgG Levels (BP, PT, FHA, Prn)</t>
  </si>
  <si>
    <t>BR</t>
  </si>
  <si>
    <t>Inclusion criteria were the following: healthy women between 15 and 40 years old with healthy term newborns with adequate weight for the gestational age. Exclusion criteria included the following: placental malformation, maternal chronic or immunological disorder, use of anti-inﬂammatory, immunosuppressive or immunomodulatory medications, serious infectious diseases during pregnancy or during the delivery period, positive serological reactions for HIV, toxoplasmosis, rubella, cytomegalovirus, herpes, syphilis, hepatitis and malaria and previous pertussis vaccination in adult life.</t>
  </si>
  <si>
    <t>Financial support was provided by FAPEMAT (Fundação de Amparo à Pesquisa do Estado de Mato Grosso, MT, Brazil), Public announcement Universal 005/2015, Grant 221674/2015 and by CAPES (Coordenação de Aperfeiçoamento de Pessoal de Nível Superior, Brazil).</t>
  </si>
  <si>
    <t>mean 33w±.43 (30-36 variance)</t>
  </si>
  <si>
    <t>median 28y (15-39)</t>
  </si>
  <si>
    <t>Median parity 2(1-8 range)</t>
  </si>
  <si>
    <t>Combined Tdap booster during gestation</t>
  </si>
  <si>
    <t>median 24y (15-38)</t>
  </si>
  <si>
    <t>Median parity 2(1-7 range)</t>
  </si>
  <si>
    <t>Fakhraei 2021</t>
  </si>
  <si>
    <t>Multiple linked Ontario health administrative databases: MOMBABY (linked maternal-newborn hospital records); Registered Persons Database; Canadian Institute for Health Information Discharge Abstract Database; Ontario Health Insurance Plan database; Permanent Resident Database (Immigration, Refugees and Citizenship Canada); Ontario Marginalization Index</t>
  </si>
  <si>
    <t>04/2012–03/2017</t>
  </si>
  <si>
    <t>Gestational hypertension, Chorioamnionitis, Preterm birth, preterm birth, Stillbirth, Small for gestational age, postpartum hemorrhage, Composite neonatal morbidity, NICU stay &gt;24 hours</t>
  </si>
  <si>
    <t>Canada</t>
  </si>
  <si>
    <t>We conducted a population-based retrospective cohort study of all hospital live births and stillbirths in Ontario between Apr. 1, 2012, and Mar. 3, 2017. We used the MOMBABY database, which contains linked maternal–newborn hospital records, to assemble the cohort and provide additional information (e.g., gestational age, birth weight). About 99% of maternal–newborn records for in-hospital deliveries in
Ontario have been successfully linked in this database.34 We linked 5 other health administrative databases: the Registered Persons Database, which provides information on neighbourhood income, region of residence and health care eligibility; the Canadian Institute for Health Information Discharge Abstract Database, which captures hospital admissions (medical diagnoses and procedures); the Ontario Health Insurance Plan database, which contains physician billing claims; the Permanent Resident Database (Immigration, Refugees and Citizenship Canada), which includes maternal country of birth; and the Ontario Marginalization Index, which uses census data to quantify the level of marginalization. Data sources are described in Appendix 1, Supplemental Table S1 (available at www.cmajopen.ca/content/9/2/E349/suppl/DC1).
For multifetal pregnancies, only the first-born infant was included. Excluded were mothers who were not Ontario residents, were younger than 12 years or older than 50 years, or did not have continuous Ontario Health Insurance Plan enrolment during pregnancy, and records with administrative issues (e.g., invalid identifiers, duplicate records). We applied an algorithm35,36 to exclude live births with implausible birth weight and gestational age combinations, based on a Canadian reference standard. Finally, records missing covariate information were excluded.</t>
  </si>
  <si>
    <t>This study was supported by operating grants PJT-159519 and MY7-161351 from the Canadian Institutes of Health Research and by ICES, which is funded by an annual grant from the Ontario Ministry of Health.</t>
  </si>
  <si>
    <t>615 213 infants (live births and stillbirths)</t>
  </si>
  <si>
    <t>&lt;20: 14 249 (2.3%)
20–24: 66 102 (10.7%)
25–29: 165 891 (27.0%)
30–34: 225 692 (36.7%)
≥35: 143 279 (23.3%)</t>
  </si>
  <si>
    <t>Asthma: 1501 (0.2%)
Chronic
hypertension: 2358 (0.4%)
Diabetes: 4846 (0.8%)
Heart disease: 2971 (0.5%)
Thyroid disease: 7135 (1.2)
BMI (&gt;30.0): 3436 (0.6%)</t>
  </si>
  <si>
    <t>Drug dependence or tobacco use: 3326 (0.5%)</t>
  </si>
  <si>
    <t>parity (0): 272 399 (44.3%)
parity (≥1): 342 814 (55.7%)
multiple birth: 11 734 (1.9%)</t>
  </si>
  <si>
    <t>Ontario Health Insurance Plan (OHIP) coverage during pregnancy (inclusion requirement). Prenatal care utilization: adequate (27.2%), intermediate (50.1%), inadequate (14.2%), intensive (2.0%), no care/missing (6.5%)</t>
  </si>
  <si>
    <t>11,519 mothers</t>
  </si>
  <si>
    <t>&lt;20: 1.6% 
20–24: 6.8% 
25–29: 28.4% 
30–34: 39.4% 
≥35: 23.8%</t>
  </si>
  <si>
    <t>2631 (22.8%) - vaccinated before 20 weeks’ gestation
1130 (9.8%) - 20–26 weeks’ gestation
4774 (41.1%) - 27–32 weeks’ gestation
2984 (25.9%) - after 32 weeks’ gestation.</t>
  </si>
  <si>
    <t>Chronic
hypertension: 39 (0.3%)
BMI (&gt;30.0): 47 (0.4%)
Asthma 25 (0.2% )
Diabetes 55 (0.5%) 
Heart disease 50 (0.4%) 
Thyroid disease 199 (1.7%) 
Obesity 47 (0.4%)</t>
  </si>
  <si>
    <t>Drug dependence or tobacco use: 37 (0.3%)</t>
  </si>
  <si>
    <t>parity (0): 6027 (52.3%)
parity (≥1): 5492 (47.7%)
multiple birth: 115  (1.3%)</t>
  </si>
  <si>
    <t>Intensive 280 (2,4%) , Adequate 4,468 (38,8%) , Intermediate 5,683 (49,3%) , Inadequate 894 (7,8%) , No care/missing 194 (1,7%)</t>
  </si>
  <si>
    <t>We classified Tdap vaccination as having occurred during pregnancy if it was administered between 14 days after the last menstrual period (estimated by subtracting gestational age from date of birth) to 1 day before delivery.</t>
  </si>
  <si>
    <t>We categorized gestational age at Tdap vaccine receipt as less than 20 weeks, 20–26 weeks, 27–32 weeks (recommended timing) and more than 32 weeks.</t>
  </si>
  <si>
    <t>603,694 mothers</t>
  </si>
  <si>
    <t>&lt;20: 2.3% 
 20–24: 10.8% 
25–29: 26.9% 
30–34: 36.6% 
≥35: 23.3%</t>
  </si>
  <si>
    <t>Chronic
hypertension: 2319 (0.4%)
BMI (&gt;30.0): 3389 (0.6%)
Asthma 1476 (0.2% )
Diabetes 4791 (0.8%) 
Heart disease 2921 (0.5%) 
Thyroid disease 6936 (1.1%) 
Obesity 3389 (0.6%)</t>
  </si>
  <si>
    <t>Drug dependence or tobacco use: 3289 (0.5%)</t>
  </si>
  <si>
    <t>parity (0): 266 372 (44.1%)
parity (≥1): 337 322 (55.9%)
multiple birth: 11 579  (1.9%)</t>
  </si>
  <si>
    <t>Intensive 12,238 (2,0%) , Adequate 163,021 (27,0%) , Intermediate 302,438 (50,1%) , Inadequate 86,218 (14,3%) , No care/missing 39,779 (6,6%)</t>
  </si>
  <si>
    <t>Fernandes 2019</t>
  </si>
  <si>
    <t>Brazil São Paulo State Surveillance System (SINAN); Information System on Live Births (SINASC); maternal interviews; vaccination cards</t>
  </si>
  <si>
    <t>02/2015 - 07/2016</t>
  </si>
  <si>
    <t>Pertussis in infants &lt;8 weeks of age (vaccine effectiveness, VE)</t>
  </si>
  <si>
    <t>Brazil</t>
  </si>
  <si>
    <r>
      <rPr>
        <b/>
        <sz val="10"/>
        <color theme="1"/>
        <rFont val="Arial"/>
        <family val="2"/>
      </rPr>
      <t>INCLUSION</t>
    </r>
    <r>
      <rPr>
        <sz val="10"/>
        <color theme="1"/>
        <rFont val="Arial"/>
        <family val="2"/>
      </rPr>
      <t>: "Cases and controls were eligible for enrollment if they were resident in São Paulo State, 37 weeks gestational age, and weight &gt;2500 g at birth."
"</t>
    </r>
    <r>
      <rPr>
        <b/>
        <sz val="10"/>
        <color theme="1"/>
        <rFont val="Arial"/>
        <family val="2"/>
      </rPr>
      <t xml:space="preserve">Exclusion </t>
    </r>
    <r>
      <rPr>
        <sz val="10"/>
        <color theme="1"/>
        <rFont val="Arial"/>
        <family val="2"/>
      </rPr>
      <t>criteria were: (1) having received immunosuppressive drugs or corticosteroids at a dose greater than 2 mg/kg /day for more than 15 days; (2) having a primary or acquired immunodeficiency; (3) having heart, neurological or renal disease; (4) having a chromosomal anomaly or serious congenital disease; or (5) having previously received transfusion of blood or blood products. Control infants were additionally considered ineligible if they had had a pertussis diagnosis before 2 months of age."</t>
    </r>
  </si>
  <si>
    <t>8 weeks
---
"The upper age limit of eight weeks was chosen because this is the age at which primary immunizations are routinely offered."  "Cases were infants aged &lt; 8 weeks at onset of pertussis" 
No explicit follow-up duration stated for controls; controls were followed until pertussis diagnosis exclusion before 2 months.</t>
  </si>
  <si>
    <t>Fundo Especial de Saude para Imunizacao em Massa e Controle de Doencas (FESIMA), Instituto Adolfo Lutz, Coordenadoria de Controle de Doencas, Secretaria de Estado da Saude de Sao Paulo - SP, and Sao Paulo Research Foundation, FAPESP [2015/16157-1]</t>
  </si>
  <si>
    <t>291 mother-infant pairs</t>
  </si>
  <si>
    <t>&lt;20: 29 participants
&gt;=20: 262 participants</t>
  </si>
  <si>
    <t>Number of maternal prenatal visits:
&lt;7: 46 participants
&gt;=7: 245 participants</t>
  </si>
  <si>
    <t>"The mother was considered vaccinated if she had received Tdap ≥ 21 days before delivery"
"The immunization status of the mother was determined based on the prenatal report or vaccination card."</t>
  </si>
  <si>
    <t>"the Brazilian Ministry of Health (MoH) recommended Tdap be given to women between the 27th and 36th week of pregnancy, in 2014"
Study period 2015-2016, so policy window was 27-36 weeks?</t>
  </si>
  <si>
    <t>"Not having received vaccine"</t>
  </si>
  <si>
    <t>Hoang 2016</t>
  </si>
  <si>
    <t>RCT</t>
  </si>
  <si>
    <t>Adacel, TT-VAC (IVAC)</t>
  </si>
  <si>
    <t>Ha Nam province, in Northern Vietnam</t>
  </si>
  <si>
    <t>02/2013-10/2013*</t>
  </si>
  <si>
    <t>IgG (TT, DT, PT, FHA, Pertactin)</t>
  </si>
  <si>
    <t>Musculoskeletal and connective tissue disorders, General disorders and administration site conditions, Nervous system disorders</t>
  </si>
  <si>
    <t>Vietnam</t>
  </si>
  <si>
    <t>Inclusion criteria for women were: aged 18-41 years, willing to be vaccinated during pregnancy between 18 and 32 weeks of gestation, intended to be available for follow-up visits and phone call access through 16 months following delivery and willing to have their infant immunized with the hexavalent study vaccine at 8, 12 and 16 weeks at the Commune Health Center. 
Children with following criteria were excluded: serious underlying medical condition (e.g., immunosuppressive disease or therapy, human immunodeficiency virus (HIV) infection, collagen vascular disease, diabetes mellitus, chronic hypertension, moderate to severe asthma, lung/heart disease, liver/kidney disease, chronic or recurrent infections); no signed informed consent by both parents available; severe reactions to any vaccine; anything in the opinion of the investigator that would prevent volunteers from completing the study or put the volunteer at risk.</t>
  </si>
  <si>
    <t>This work was supported by Vlir-UOS (Flemish Interuniversity Council) (ZEIN2012Z2131) and FWO (Fund for Scientific Research – Flanders) (G.A032.12N) together with the National Foundation for Science and Technology Development – NAFOSTED (FWO.2011.03). EL is beneficiary of a postdoctoral mandate fellowship from the Fund for Scientific Research (FWO 12D6114N). NH gratefull acknowledges support from the University of Antwerp scientific chair in Evidence-Based Vaccinology, financed in 2009–2015 by a gift from Pfizer. RNC was partially funded by BELSPO (Federal Service Science Policy).</t>
  </si>
  <si>
    <t>103 women</t>
  </si>
  <si>
    <t>18 and 32 weeks of gestation</t>
  </si>
  <si>
    <t>HIV: 0%
Immunosuppressive disease: 0%
Diabetes mellitus: 0%
Chronic hypertension: 0%
Moderate to severe asthma: 0%
Heart disease: 0%</t>
  </si>
  <si>
    <t>mean 26.7 yrs (SD 5.3)*</t>
  </si>
  <si>
    <t>mean 25.8 wks (SD 2.2)</t>
  </si>
  <si>
    <t>Primiparity: 17 (32.7%)</t>
  </si>
  <si>
    <t>received Adacel® (Sanofi Pasteur, Canada) containing 5Lf tetanus toxoid (TT), 2Lf Diphtheria toxoid (DT), 2.5 g pertussis toxin (PT), 5 mcg filamentous haemagglutinin (FHA), 3 mcg pertactin (Prn) and 5 mcg fimbriae types 2 and 3 (FIM 2 and FIM3)</t>
  </si>
  <si>
    <t>18 and 32 wks</t>
  </si>
  <si>
    <t>No Tdap - TT</t>
  </si>
  <si>
    <t>mean 26.5 yrs (SD 5.8)</t>
  </si>
  <si>
    <t>mean 24.9 wks (SD 3.0)</t>
  </si>
  <si>
    <t>Primiparity: 22 (43.1%)</t>
  </si>
  <si>
    <t>The TT group received monovalent tetanus vaccine TT-VAC (IVAC®, Vietnam) including at least 10 Lf of TT.</t>
  </si>
  <si>
    <t>Giles 2021</t>
  </si>
  <si>
    <t>dTpa - diphtheria-tetanus-pertussis vaccine</t>
  </si>
  <si>
    <t>Australia: Victorian Perinatal Data Collection (VPDC); Consultative Council on Obstetric and Paediatric Mortality and Morbidity (CCOPMM)</t>
  </si>
  <si>
    <t>07/2015 - 12/2018</t>
  </si>
  <si>
    <t>Preterm birth, Stillbirth, Pre-eclampsia, Birthweight/Small for gestational age</t>
  </si>
  <si>
    <t>Australia</t>
  </si>
  <si>
    <r>
      <rPr>
        <b/>
        <sz val="10"/>
        <color theme="1"/>
        <rFont val="Arial"/>
        <family val="2"/>
      </rPr>
      <t>Included</t>
    </r>
    <r>
      <rPr>
        <sz val="10"/>
        <color theme="1"/>
        <rFont val="Arial"/>
        <family val="2"/>
      </rPr>
      <t>: all women with a singleton pregnancy at</t>
    </r>
    <r>
      <rPr>
        <b/>
        <u/>
        <sz val="10"/>
        <color theme="1"/>
        <rFont val="Arial"/>
        <family val="2"/>
      </rPr>
      <t xml:space="preserve"> ≥28 weeks</t>
    </r>
    <r>
      <rPr>
        <sz val="10"/>
        <color theme="1"/>
        <rFont val="Arial"/>
        <family val="2"/>
      </rPr>
      <t xml:space="preserve">' gestation delivering in Victoria, Australia, July 2015-December 2018. 
"Women, with a singleton pregnancy &gt;28 weeks in Victoria"
</t>
    </r>
    <r>
      <rPr>
        <b/>
        <sz val="10"/>
        <color theme="1"/>
        <rFont val="Arial"/>
        <family val="2"/>
      </rPr>
      <t>Excluded</t>
    </r>
    <r>
      <rPr>
        <sz val="10"/>
        <color theme="1"/>
        <rFont val="Arial"/>
        <family val="2"/>
      </rPr>
      <t xml:space="preserve">: births before 28 weeks' gestation (pertussis vaccine offered from 28 weeks in Victoria at time of study); multiple pregnancies. Vaccination status (yes/no/not known) captured as mandatory item in VPDC for all births from 1 July 2015. 
"We excluded births before 28 weeks because, until very recently, it has been common in Victoria for women to be offered pertussis containing vaccination only from 28 weeks onwards. We also excluded multiple pregnancy because of the association between multiple pregnancy and higher rates of preterm birth and stillbirth."
"those with missing vaccination status excluded" (Table 3).
</t>
    </r>
  </si>
  <si>
    <t>EW is a recipient of a National Health and Medical Research
Council (NHMRC) Program Grant (APP1113902) and is a chief investigator on
the NHMRC Stillbirth Centre for Research Excellence (APP1116640).</t>
  </si>
  <si>
    <t>269493 pregnant women</t>
  </si>
  <si>
    <t>Younger than 20 years 3684 1.4
20-24 years 24933 9.3
25-29 years 68764 25.5
30-34 years 102527 38.0
35-39 years 56683 21.0
40-44 years 11975 4.4
45+ years 897 0.3</t>
  </si>
  <si>
    <t>BMI group
&lt;18.5 8106 3.0
18.5-&lt;25 133720 49.6
25-&lt;30 70807 26.3
30-&lt;35 31349 11.6
35-&lt;40 13225 4.9
40+ 8027 3.0</t>
  </si>
  <si>
    <t>Smoking during pregnancy
None 235343 87.3
Smoked at all 23142 8.6</t>
  </si>
  <si>
    <t>First birth
Yes: 117395
43.6%</t>
  </si>
  <si>
    <t>Younger than 20 years: 2564
20-24 years: 17760
25-29 years: 50680 
30-34 years: 74027
35-39 years: 38878
40-44 years: 7985
45+ years: 589</t>
  </si>
  <si>
    <t>BMI group
&lt;18.5: 5366
18.5-&lt;25: 95142
25-&lt;30: 51688
30-&lt;35: 23085
35-&lt;40: 9610
40+: 5694</t>
  </si>
  <si>
    <t>Smoking during pregnancy
None: 169219
Smoked at all: 15718</t>
  </si>
  <si>
    <t>First birth
Yes: 89073
No: 103414</t>
  </si>
  <si>
    <t>Maternal vaccination against pertussis</t>
  </si>
  <si>
    <t>Vaccinated during pregnancy against influenza and pertussis: 124,140</t>
  </si>
  <si>
    <t>Younger than 20 years: 901
20-24 years: 5656
25-29 years: 13732
30-34 years: 20609 
35-39 years: 12898
40-44 years: 2856
45+ years: 210</t>
  </si>
  <si>
    <t>BMI group
&lt;18.5: 1981
18.5-&lt;25: 27941
25-&lt;30: 14427
30-&lt;35: 6410
35-&lt;40: 2849
40+: 1800</t>
  </si>
  <si>
    <t>Smoking during pregnancy
None: 47977
Smoked at all: 6049</t>
  </si>
  <si>
    <t>First birth
Yes: 19712
No: 37160</t>
  </si>
  <si>
    <t>The control group chosen was women who received no vaccination at all</t>
  </si>
  <si>
    <t>Some "no pertussis" women may have received influenza vaccine (sensitivity analysis in supplement accounts for this)</t>
  </si>
  <si>
    <t>Hincapié-Palacio 2018</t>
  </si>
  <si>
    <t>Multi-centre cohort study; 8 randomly selected hospitals in Medellín and metropolitan area of Antioquia, Colombia; PAIweb centralized vaccination database; Departmental Public Health Laboratory – Sectional Secretary of Health and Social Protection of Antioquia; University of Antioquia/Ministry of Health Colombia Agreement 313 of 2015 and 448 of 2016</t>
  </si>
  <si>
    <t>12/2015-04/2016</t>
  </si>
  <si>
    <t>IgG PT levels in mom, cord blood, confirmed pertussis</t>
  </si>
  <si>
    <t>General disorders and administration site conditions (local reactions to vaccination: pain, inflammation, heat at injection site)</t>
  </si>
  <si>
    <t>CO</t>
  </si>
  <si>
    <t>Mothers were eligible for inclusion in the study if the delivery occurred at _x0001_ 37 weeks gestation. Exclusion criteria were one or more of the following: the mother had documented having multiple gestations, the delivery occurred at &lt;37 weeks gestation, having fever in the previous 72 h (chorioamnionitis, sepsis), having admission in an intensive care unit, or if the mother were at an advanced stage of labor.</t>
  </si>
  <si>
    <t>Infants had follow-ups at 2, 4, and 6 mo</t>
  </si>
  <si>
    <t>Ministry of Health, Social Protection of Colombia and University of Antioquia Agreement 313 of 2015 and 448 of 2016.</t>
  </si>
  <si>
    <t>1005 pregnant women
infants: 896</t>
  </si>
  <si>
    <t>median 24 (20-29 RIq)
range 13-43</t>
  </si>
  <si>
    <t>Contributive 2453 
Subsidized 2134
Uninsured 254</t>
  </si>
  <si>
    <t>Vaccinated with Tdap during pregnancy</t>
  </si>
  <si>
    <t>No vaccination</t>
  </si>
  <si>
    <t>Wieringa 2025</t>
  </si>
  <si>
    <t>PETIT (Pregnancy Exposure to TNF alpha inhibitors and Immunological effect) study cohort from 16 hospitals in the Netherlands</t>
  </si>
  <si>
    <t>12/2018 - 03/2023</t>
  </si>
  <si>
    <t>anti-PT, anti-FHA, anti-PRN; anti-FIM2/FIM3, anti-Dt, anti-Tt</t>
  </si>
  <si>
    <t>Netherlands</t>
  </si>
  <si>
    <t>Pregnant women with IBD treated with immunomodulating medication with the ability to cross the placenta (anti-tumor necrosis factor alpha (TNFα), vedolizumab, ustekinumab, thiopurines, corticosteroids, tacrolimus) were prospectively recruited.
Preterm infants were excluded from the analysis, because of a potential negative effect on placental transfer of maternal antibodies.</t>
  </si>
  <si>
    <t>Clinical data on their infants were collected at birth and outpatient visits during the first year of life.
Blood samples were taken at birth (maternal blood and cord blood) and at 2mo of age in the infant, preceding active
immunization.</t>
  </si>
  <si>
    <t>"This work was supported by MSD grant number 59733; the CJ Vaillant Foundation."</t>
  </si>
  <si>
    <t>160 mother-infant pairs</t>
  </si>
  <si>
    <t>median 31.0 yr (IQR 29.0-34.0)*</t>
  </si>
  <si>
    <t>median 31.0 yrs (IQR 29.0-34.0)</t>
  </si>
  <si>
    <t>median 24 0/7 wks (IQR 23 0/7-28 0/7)</t>
  </si>
  <si>
    <t>inflammatory bowel disease (IBD): 100%</t>
  </si>
  <si>
    <t>Pregnant women with IBD who got Tdap during pregnancy</t>
  </si>
  <si>
    <t>All women were offered maternal Tdap vaccination from 20th weeks gestational age (GA) onwards according to the Dutch NIP.</t>
  </si>
  <si>
    <t>median 33.0 yrs (IQR 27.5-36.5)</t>
  </si>
  <si>
    <t xml:space="preserve">Pregnant women with IBD who did not get Tdap </t>
  </si>
  <si>
    <t>Barug 2019</t>
  </si>
  <si>
    <t xml:space="preserve">36 midwife clinics in the Netherlands
</t>
  </si>
  <si>
    <t>01/2014 - 03/2016</t>
  </si>
  <si>
    <t xml:space="preserve">IgG antibodies against pertussis toxin
</t>
  </si>
  <si>
    <t>PPP Conditions (Premature labour, Premature rupture of membranes, Vaginal haemorrhage, Gestational hypertension, Infections and infestations)
General disorders and administration site conditions, Nervous system disorders, Musculoskeletal and connective tissue disorders, Premature infants.
Serious adverse events reported in pregnant women and their infants during pregnancy and the first year after birth</t>
  </si>
  <si>
    <t>NL</t>
  </si>
  <si>
    <t>358 - Appendix.pdf Table 1</t>
  </si>
  <si>
    <t>12mo</t>
  </si>
  <si>
    <t>ClinicaltTrialsRegister.eu (EudraCT 2012-004006-9) and trialregister.nl (NTR number NTR4314)</t>
  </si>
  <si>
    <t>The Dutch Ministry of Health, Welfare, and Sport</t>
  </si>
  <si>
    <t>118 pregnant people</t>
  </si>
  <si>
    <t>32.3*</t>
  </si>
  <si>
    <t>mean 32.2y (3.3)</t>
  </si>
  <si>
    <t>mean 31.2 weeks (0.8)</t>
  </si>
  <si>
    <t>Boostrix vaccination 30-32 weeks into pregnancy</t>
  </si>
  <si>
    <t>mean 32.3y (3.9)</t>
  </si>
  <si>
    <t>Mothers in the control group received a Tdap vaccine (Boostrix) within 48 h after delivery</t>
  </si>
  <si>
    <t>Nascimento 2021</t>
  </si>
  <si>
    <t>SINAN, Medical and Statistical Archive Service at maternity hospitals</t>
  </si>
  <si>
    <t>07/2016-07/2018</t>
  </si>
  <si>
    <t>Pertussis-like illness OR</t>
  </si>
  <si>
    <t>Preterm birth</t>
  </si>
  <si>
    <t>All children aged under six months diagnosed with a clinical syndrome compatible with pertussis infection with no history of exposure to a confirmed case or in the absence of etiological confirmation6 were included in the study.</t>
  </si>
  <si>
    <t>This study was supported of the Coordination for the Improvement of Higher Education Personnel - Brazil (CAPES) - funding code 001 and with the support of the National Council for Scientific and Technological Development (CNPq) of the Universal Notice 14 -2013 Band C - code 487030702013-3 APQ</t>
  </si>
  <si>
    <t>267 children</t>
  </si>
  <si>
    <t>Pertussis vaccination (Tdap) during pregnancy</t>
  </si>
  <si>
    <t>Mothers with Tdap registered on the current vaccination card administered in the previous period (postpartum, previous or last pregnancy) were classified as non-vaccinated.</t>
  </si>
  <si>
    <t>Petousis-Harris 2019</t>
  </si>
  <si>
    <t>New Zealand's National Health Index (NHI), National Minimum Data Set (NMDS), Mortality Dataset (MORT), National Maternity Collection (MAT), Immunisation Subsidies Collection (IMMS)</t>
  </si>
  <si>
    <t>01/2013 - 12/2013</t>
  </si>
  <si>
    <t>PPP Conditions (Small for gestational age (SGA), Low birth weight, Moderate to late preterm birth, Intrauterine hypoxia, Asphyxia, Respiratory distress syndrome, Transient tachypnea of newborn, Congenital pneumonia, Tachycardia or bradycardia, Syndrome of infant of mother with gestational diabetes, Seizure)
Infections and infestations
Blood and lymphatic system disorders
Gastrointestinal disorders</t>
  </si>
  <si>
    <t>New Zealand</t>
  </si>
  <si>
    <t>The study population included all live-born infants in NZ weighing at least 400 g at delivery and born to women who were eligible for the NZ Ministry of Health (MoH)-funded, national-level vaccination program in 2013 (that is, all pregnant women in NZ between 28 and 38 weeks gestation).</t>
  </si>
  <si>
    <t>Infants were followed from birth up to one year of age</t>
  </si>
  <si>
    <t>This work was supported by GlaxoSmithKline (GSK) as an investigator-led study. GSK were not involved in study design, nor in the collection, analysis and interpretation of data, in the writing of this manuscript, or in the decision to submit the manuscript for publication.</t>
  </si>
  <si>
    <t>(68550 pregnant women)
69389 eligible infants</t>
  </si>
  <si>
    <t>mean 28.6 yr (SD 6.1)</t>
  </si>
  <si>
    <t>Mother BMI: mean 26.3 (SD 6.1)</t>
  </si>
  <si>
    <t>Current tobacco use
Yes: 12,373
No: 57,016</t>
  </si>
  <si>
    <t>Parity
0: 25,558
1: 22,000
2: 9863
3: 3918
4: 1600
5: 808
6+: 768
History of stillbirth
Yes: 673
No: 68,716 
History of preterm birth
Yes: 2175
No: 67,214</t>
  </si>
  <si>
    <t>History of antenatal care (no. of LMC visits): mean 9.3 (SD 3.8)</t>
  </si>
  <si>
    <t>mean 30.7 yr (SD 5.4)</t>
  </si>
  <si>
    <t>Mother BMI: mean 25.4 (SD 5.4)</t>
  </si>
  <si>
    <t>Current tobacco use
Yes: 550
No: 7749</t>
  </si>
  <si>
    <t>Parity
0: 3642
1: 2915
2: 1023
3: 266
4: 71
5: 25
6+: 16
History of stillbirth
Yes: 77 
No: 8222
History of preterm birth
Yes: 214
No: 8085</t>
  </si>
  <si>
    <t>History of antenatal care (no. of LMC visits): mean 9.7 (SD 3.5)</t>
  </si>
  <si>
    <t>Pregnant women between 28 and 38 weeks gestation received Tdap</t>
  </si>
  <si>
    <t>Influenza vaccination
Yes: 3833
No: 4466</t>
  </si>
  <si>
    <t>mean 28.3 yr (SD 6.1)</t>
  </si>
  <si>
    <t>Mother BMI: mean 26.5 (SD 6.2)</t>
  </si>
  <si>
    <t>Current tobacco use
Yes: 11,823
No: 49,267</t>
  </si>
  <si>
    <t>Parity
0: 43.9
1: 35.1
2: 12.3
3: 3.2
4: 0.9
5: 0.3
6+: 0.2
History of stillbirth
Yes: 596 
No: 60,494
History of preterm birth
Yes: 1961
No: 59,129</t>
  </si>
  <si>
    <t>History of antenatal care (no. of LMC visits): mean 9.2 (SD 3.8)</t>
  </si>
  <si>
    <t>No Tdap during pregnancy</t>
  </si>
  <si>
    <t>Influenza vaccination
Yes: 5187
No: 55,903</t>
  </si>
  <si>
    <t>Abu Raya 2019</t>
  </si>
  <si>
    <t>Monash Health, Melbourne, Australia</t>
  </si>
  <si>
    <t>04/2014 - 09/2014</t>
  </si>
  <si>
    <t>IgG levels (anti-PT in cord)</t>
  </si>
  <si>
    <t>AU</t>
  </si>
  <si>
    <t>Inclusion criteria were healthy pregnant women with a singleton pregnancy between 28 and 36 + 6 WG (34). Women were excluded if they had one or more of the following: receipt of Tdap vaccine during their current pregnancy; immunosuppressive disorder; high risk for preterm delivery.</t>
  </si>
  <si>
    <t>Thrasher Research Fund Early Career Award awarded to BA-R (Thrasher Research Fund Award # 14126). BA-R was supported by the Canadian Health and Research Institute Vanier Canada Graduate scholarship.</t>
  </si>
  <si>
    <t>112 pregnant people</t>
  </si>
  <si>
    <t>31.7*</t>
  </si>
  <si>
    <t>39.2*</t>
  </si>
  <si>
    <t>51/112 nulliparous</t>
  </si>
  <si>
    <t>mean 30 (4.4)</t>
  </si>
  <si>
    <t>mean 32.6 (2.7)</t>
  </si>
  <si>
    <t>46 nulliparous</t>
  </si>
  <si>
    <t>Tdap vaccination at either 28-32 weeks gestation (WG) or 33-36 WG.</t>
  </si>
  <si>
    <t>mean 32.6 weeks (2.7)</t>
  </si>
  <si>
    <t>32.1 (4.8)</t>
  </si>
  <si>
    <t>5 nulliparous</t>
  </si>
  <si>
    <t>Tdap 28-32 WG</t>
  </si>
  <si>
    <t>mean 30.3 y (4.2)</t>
  </si>
  <si>
    <t>mean 30.2 weeks (1.4)</t>
  </si>
  <si>
    <t>21 nulliparous</t>
  </si>
  <si>
    <t>Tdap vaccination</t>
  </si>
  <si>
    <t>28-32 WG</t>
  </si>
  <si>
    <t>Tdap 33-36 WG</t>
  </si>
  <si>
    <t>mean 29.8 y (4.6)</t>
  </si>
  <si>
    <t>mean 34.9 weeks (1.1)</t>
  </si>
  <si>
    <t>25 nulliparous</t>
  </si>
  <si>
    <t>33-36 WG</t>
  </si>
  <si>
    <t>Winter 2017</t>
  </si>
  <si>
    <t>California Department of Public Health (CDPH)</t>
  </si>
  <si>
    <t>2011-2015</t>
  </si>
  <si>
    <t>Vaccine Effectiveness in preventing hospitalization, hospitalizations related to pertussis</t>
  </si>
  <si>
    <t>United States</t>
  </si>
  <si>
    <t>We evaluated the cohort of infants reported in California with pertussis onset occurring at &lt;63 days of age and born from 1 January 2011 through 31 December 2015. We used an age cutoff of 63 days because most infants
receive the ﬁrst dose of DTaP vaccine at about 2 months of age, and we sought to minimize potential confounding effects of protection from routine active immunization.</t>
  </si>
  <si>
    <t>&lt; 63d</t>
  </si>
  <si>
    <t>420 infants born with known maternal vaccination status</t>
  </si>
  <si>
    <t>median 28 yrs (IQR 24-33)</t>
  </si>
  <si>
    <r>
      <rPr>
        <sz val="10"/>
        <color theme="1"/>
        <rFont val="Arial"/>
        <family val="2"/>
      </rPr>
      <t xml:space="preserve">prenatal visits: median 12 (IQR 0-14)
</t>
    </r>
    <r>
      <rPr>
        <b/>
        <sz val="10"/>
        <color theme="1"/>
        <rFont val="Arial"/>
        <family val="2"/>
      </rPr>
      <t xml:space="preserve">Payer for prenatal care
</t>
    </r>
    <r>
      <rPr>
        <sz val="10"/>
        <color theme="1"/>
        <rFont val="Arial"/>
        <family val="2"/>
      </rPr>
      <t>Medicaid (Medi-Cali): 235/344
Private: 90/344</t>
    </r>
  </si>
  <si>
    <t>median 28 yrs (IQR 24–33)</t>
  </si>
  <si>
    <r>
      <rPr>
        <sz val="10"/>
        <color theme="1"/>
        <rFont val="Arial"/>
        <family val="2"/>
      </rPr>
      <t xml:space="preserve">prenatal visits: median 12 (IQR 0-15)
</t>
    </r>
    <r>
      <rPr>
        <b/>
        <sz val="10"/>
        <color theme="1"/>
        <rFont val="Arial"/>
        <family val="2"/>
      </rPr>
      <t xml:space="preserve">Payer for prenatal care
</t>
    </r>
    <r>
      <rPr>
        <sz val="10"/>
        <color theme="1"/>
        <rFont val="Arial"/>
        <family val="2"/>
      </rPr>
      <t>Medicaid (Medi-Cali): 20/38
Private: 16/38</t>
    </r>
  </si>
  <si>
    <t xml:space="preserve">Maternal exposure to Tdap 28-38w </t>
  </si>
  <si>
    <r>
      <rPr>
        <sz val="10"/>
        <color theme="1"/>
        <rFont val="Arial"/>
        <family val="2"/>
      </rPr>
      <t xml:space="preserve">prenatal visits: median 12 (IQR 0-14)
</t>
    </r>
    <r>
      <rPr>
        <b/>
        <sz val="10"/>
        <color theme="1"/>
        <rFont val="Arial"/>
        <family val="2"/>
      </rPr>
      <t>Payer for prenatal care</t>
    </r>
    <r>
      <rPr>
        <sz val="10"/>
        <color theme="1"/>
        <rFont val="Arial"/>
        <family val="2"/>
      </rPr>
      <t xml:space="preserve">
Medicaid (Medi-Cali): 215/306
Private: 74/306</t>
    </r>
  </si>
  <si>
    <t>No maternal exposure to Tdap</t>
  </si>
  <si>
    <t>Glover 2020</t>
  </si>
  <si>
    <t>Reduced antigen diphtheria-tetanus-acellular pertussis vaccine (dTpa): Boostrix (GlaxoSmithKline); Adacel (Sanofi Pasteur); 2 people were unspecified</t>
  </si>
  <si>
    <t>AusVaxSafety sentinel surveillance sites (219 sites across Australia); SmartVax SMS survey system</t>
  </si>
  <si>
    <t>08/2015 - 12/2018</t>
  </si>
  <si>
    <t>Abortion spontaneous, Foetal hypokinesia, General disorders and administration site conditions, Nervous system disorders, Gastrointestinal disorders, Musculoskeletal and connective tissue disorders</t>
  </si>
  <si>
    <t>"Women vaccinated with IIV and/or dTpa at any time during pregnancy were included"
"at 219 national sentinel surveillance sites from 2015 to 2018" 
"via automated SMS survey (using SmartVax software) "</t>
  </si>
  <si>
    <t>7 days post-vaccination
"all vaccine recipients at sentinel sites received an SMS message from their medical provider at 3–7 days following vaccination enquiring about any adverse events that occurred at any time post vaccination"</t>
  </si>
  <si>
    <t>The AusVaxSafety surveillance system is funded by the Australian Government Department of Health and administered under a contract with the Australian National Centre for Immunisation Research and Surveillance (NCIRS).</t>
  </si>
  <si>
    <t>Median 31 years (range: 14-49 years)</t>
  </si>
  <si>
    <r>
      <rPr>
        <sz val="10"/>
        <color theme="1"/>
        <rFont val="Arial"/>
        <family val="2"/>
      </rPr>
      <t xml:space="preserve">Median 30 weeks gestation
</t>
    </r>
    <r>
      <rPr>
        <b/>
        <sz val="10"/>
        <color theme="1"/>
        <rFont val="Arial"/>
        <family val="2"/>
      </rPr>
      <t>Gestational age at vaccination</t>
    </r>
    <r>
      <rPr>
        <sz val="10"/>
        <color theme="1"/>
        <rFont val="Arial"/>
        <family val="2"/>
      </rPr>
      <t xml:space="preserve">
First trimester (0–12 weeks): 1,333
Second trimester (13–27 weeks): 2,311
Third trimester (28–42 weeks): 9,626</t>
    </r>
  </si>
  <si>
    <t>Mean 31.2 years
Age at vaccination
&lt;15: 0
15-19: 93
20-24: 666
25-29: 2,031
30-34: 3,135
35-39: 1,666
40-44: 276
45-49: 19</t>
  </si>
  <si>
    <t>Gestational age at vaccination (range: 0–42 weeks)
First trimester (0–12 weeks) 10 (0.1%)
Second trimester (13–27 weeks) 177 (2.2%) 
Third trimester (28–42 weeks) 7,407 (93.9%)</t>
  </si>
  <si>
    <t>Pregnant women receiving reduced antigen diphtheria-tetanus-acellular pertussis vaccine (dTpa)</t>
  </si>
  <si>
    <t>During this period [...] dTpa was recommended in each
pregnancy from 28 to 32 weeks’ gestation
per Australian guidelines.</t>
  </si>
  <si>
    <t>Mean 31.1 years
Age at vaccination
&lt;15: 0
15-19: 45
20-24: 379
25-29: 1,083
30-34: 1,647
35-39: 874
40-44: 149
45-49: 11</t>
  </si>
  <si>
    <t>Gestational age at vaccination (range: 0–42 weeks)
First trimester (0–12 weeks) 1,317 (31.4%)
Second trimester (13–27 weeks) 2,071 (49.5%)
Third trimester (28–42 weeks) 766 (18.3%)</t>
  </si>
  <si>
    <t>Women who received seasonal inactivated influenza vaccine (IIV) during pregnancy, but not dTpa</t>
  </si>
  <si>
    <t>During this period, IIV was recommended at any time during pregnancy
per Australian guidelines.</t>
  </si>
  <si>
    <t>Sahoo 2024</t>
  </si>
  <si>
    <t>Department of Pediatrics at Base Hospital, New Delhi</t>
  </si>
  <si>
    <t>06/2019 - 05/2021</t>
  </si>
  <si>
    <t>anti-PT</t>
  </si>
  <si>
    <t>India</t>
  </si>
  <si>
    <t>All the babies born in the period from June 2019 till May 2021 were taken into
consideration. 200 term neonates born weighing more than 2.5 kgs were included in the study. Exclusion criteria included all preterms, low birth weight, sick babies requiring resuscitation at birth, having birth defects, any underlying neurological, cardiac, renal, or pulmonary disease in either mother or neonate.</t>
  </si>
  <si>
    <t>At delivery</t>
  </si>
  <si>
    <t>200 neonates</t>
  </si>
  <si>
    <t>Gestational Hypertension/Gestational Diabetes or
Hypothyroidism*: 88</t>
  </si>
  <si>
    <t>Gravida: 
Primigravida: 91
Multigravida: 109</t>
  </si>
  <si>
    <t>history of maternal Tdap immunization</t>
  </si>
  <si>
    <t>TT</t>
  </si>
  <si>
    <t>history of maternal TT immunization</t>
  </si>
  <si>
    <t>Becerra-Culqui 2018</t>
  </si>
  <si>
    <t>Adacel (Sanofi Pasteur, Swiftwater, PA)</t>
  </si>
  <si>
    <t>Kaiser Permanente Southern California hospitals EMR</t>
  </si>
  <si>
    <t>01/2011 - 12/2014 (deliveries);  follow-up through 06/2017</t>
  </si>
  <si>
    <t>Autism spectrum disorder (ASD) diagnosis</t>
  </si>
  <si>
    <t>US</t>
  </si>
  <si>
    <t>Eligibility was restricted to pregnant women who did not have assisted conceptions and gave birth to live singleton infants at 22-45 weeks gestation. Maternal and child pairs were included if pregnant women had continuous membership since the beginning of pregnancy and infants were members for at least 90 continuous days after turning 1y of age. Pairs excluded if children were diagnosed with chromosomal or congential anomalies.</t>
  </si>
  <si>
    <t>1.2-6.5y</t>
  </si>
  <si>
    <t>Supported by Kaiser Permanente Southern California internal research funds.</t>
  </si>
  <si>
    <t>81993 pairs of diverse pregnant
women and their children</t>
  </si>
  <si>
    <t>mean 28w ±7.4
median 29w (26-33)</t>
  </si>
  <si>
    <t>pregestational hypertension: 2839
pregestational diabetes: 1512</t>
  </si>
  <si>
    <t xml:space="preserve">Parity = 0: 33537
1: 28826
&gt;= 2 : 19624
</t>
  </si>
  <si>
    <t>Medicaid total: 4436
prenatal care: =&lt;3mo gestation: 76,833
prenatal care: &gt;3mo gestation: 4687
no prenatal care or missing: 473</t>
  </si>
  <si>
    <t>≤25 years: 17.5%
26–30 years: 29.6%
31–34 years: 28.9%
≥35 years: 24.1%</t>
  </si>
  <si>
    <t>mean 28w±7.4
median 29w (26-33)</t>
  </si>
  <si>
    <t>pregestational hypertension: 1583
pregestational diabetes: 829</t>
  </si>
  <si>
    <t>Parity = 0: 16184</t>
  </si>
  <si>
    <t>Start of antenatal care: =&lt;3mo gestation 39911
&gt; 3mo 2733, missing/nocare 272
Medicaid:2489</t>
  </si>
  <si>
    <t>Maternal exposure to Tdap</t>
  </si>
  <si>
    <t>between 27 and 36 weeks</t>
  </si>
  <si>
    <t>Flu: 18272</t>
  </si>
  <si>
    <t>≤25 years: 19.2%
26–30 years: 29.1%
31–34 years: 27.7%
≥35 years: 24.0%</t>
  </si>
  <si>
    <t>pregestational hypertension: 1256
pregestational diabetes: 683</t>
  </si>
  <si>
    <t>Parity = 0: 17353</t>
  </si>
  <si>
    <t>Start of antenatal care: =&lt;3mo gestation 36922
&gt; 3mo 1954, missing/nocare 201
medicaid: 1947</t>
  </si>
  <si>
    <t>Flu: 26449</t>
  </si>
  <si>
    <t>Healy 2018</t>
  </si>
  <si>
    <t>Pavilion for Women, Texas Children's Hospital, Houston, TX; CDC Pertussis and Diphtheria Laboratory (serologic testing); CDC award CDC-CI10-101203PPHF12</t>
  </si>
  <si>
    <t>12/2013-03/2014</t>
  </si>
  <si>
    <t>IgG (PT)</t>
  </si>
  <si>
    <t>Participants were eligible for inclusion if they delivered at term (≥37 weeks’ gestation); there was documentation (lot number and administration record) that the mother received Tdap vaccine during gestation weeks 27 through 36 (Tdap-exposed group) and 14 days or more before delivery (to allow for antibody response) or there was specific documentation in the medical record that the mother had not received Tdap vaccine during pregnancy (Tdap-unexposed group); and residual umbilical cord serum was available in sufficient quantity for serologic testing. Infants born to mothers who tested positive for HIV or syphilis were excluded.</t>
  </si>
  <si>
    <t xml:space="preserve">Infants at 2 months </t>
  </si>
  <si>
    <t>This article was made possible by award CDC-CI10-101203PPHF12 from the Centers for Disease Control and Prevention (CDC), through the Houston Department of Health and Human Services (HDHHS).</t>
  </si>
  <si>
    <t xml:space="preserve">626 mother infant </t>
  </si>
  <si>
    <t>Mean maternal age, 29.7 years</t>
  </si>
  <si>
    <t>mean gestation of 31.2 weeks
(range, 27.3-36.4)</t>
  </si>
  <si>
    <t>Infants born to mothers who tested positive for HIV or syphilis were excluded.</t>
  </si>
  <si>
    <t>mean (range): 30.8 (18-44)</t>
  </si>
  <si>
    <t>Mean:31.2 weeks
(range, 27.3-36.4)</t>
  </si>
  <si>
    <t>Maternal immunization with Tdap vaccine during pregnancy</t>
  </si>
  <si>
    <t>31.2 weeks (range 27.3–36.4)</t>
  </si>
  <si>
    <t>mean (range): 28.7 (16-46)</t>
  </si>
  <si>
    <t>Maertens 2022</t>
  </si>
  <si>
    <t>Boostrix</t>
  </si>
  <si>
    <t>NCT02511327
Belgium</t>
  </si>
  <si>
    <t>05/2015-06/2017</t>
  </si>
  <si>
    <t>AB levels (fetal:maternal ratio for PT, FHA, Prn, TT, DT)
AB levels (GMC levels PT, FHA, PRN, TT, DT, Hep B, and Hib)</t>
  </si>
  <si>
    <t>Belgium</t>
  </si>
  <si>
    <t>A list of inclusion/exclusion criteria is available in Supplementary Appendix 1.</t>
  </si>
  <si>
    <t>Intent to be available for follow-up visits through 16 months following delivery.</t>
  </si>
  <si>
    <t>NCT02511327</t>
  </si>
  <si>
    <t>Financial support. This work was supported by the Research Foundation - Flanders (FWO G064015N). An unrestricted grant from Sanofi Pasteur was received for the laboratory analysis of the samples. K. M. is beneficiary of a postdoctoral mandate fellowship from the Research Foundation - Flanders (FWO 12R5719N). N. H. is beneficiary of a grant by the European Research Council under the European Union’s Horizon 2020 research and innovation program (grant agreement 682540 TransMID), and S. A. H. acknowledges funding by this grant. Support from the FWO (G081217N) was also received.</t>
  </si>
  <si>
    <t>Immunological conditions (e.g., HIV): 0%</t>
  </si>
  <si>
    <t>Uniparous = 143</t>
  </si>
  <si>
    <t>Tdap (Term)</t>
  </si>
  <si>
    <t>mean 31.4 yr (SD 3.7)</t>
  </si>
  <si>
    <t>mean 29.3 wk (SD 3.7)</t>
  </si>
  <si>
    <t>Parity
Uniparous: 64
Multiparous: 48</t>
  </si>
  <si>
    <t>Women vaccinated with an aP-containing vaccine during pregnancy and their term infants (≥37 weeks GA)
Women in the VT and VP cohort received licensed Tdap vaccine (Boostrix; GSK) during pregnancy. Boostrix contains 5 limits of flocculation (Lf) tetanus toxoid (TT), 2.5 Lf diphtheria toxoid (DT), 8 μg inactivated pertussis toxin (PT), 8 μg filamentous hemagglutinin (FHA), and 2.5 μg of pertactin (PRN).</t>
  </si>
  <si>
    <t>Between 24 and 32 weeks GA.</t>
  </si>
  <si>
    <t>Influenza vaccination during pregnancy is allowed</t>
  </si>
  <si>
    <t>Tdap (PT)</t>
  </si>
  <si>
    <t>mean 30.9 yr (SD 4.3)</t>
  </si>
  <si>
    <t>mean 28.8 wk (SD 2.5)</t>
  </si>
  <si>
    <t>Parity
Uniparous: 59
Multiparous: 23</t>
  </si>
  <si>
    <t>Women vaccinated with an aP-containing vaccine during pregnancy and their preterm infants (&lt;37 weeks GA)
Women in the VT and VP cohort received licensed Tdap vaccine (Boostrix; GSK) during pregnancy. Boostrix contains 5 limits of flocculation (Lf) tetanus toxoid (TT), 2.5 Lf diphtheria toxoid (DT), 8 μg inactivated pertussis toxin (PT), 8 μg filamentous hemagglutinin (FHA), and 2.5 μg of pertactin (PRN).</t>
  </si>
  <si>
    <t>No Tdap (Term)</t>
  </si>
  <si>
    <t>mean 30.5 yr (SD 3.8)</t>
  </si>
  <si>
    <t>Parity
Uniparous: 10
Multiparous: 12</t>
  </si>
  <si>
    <t>Women not vaccinated with an aP-containing vaccine for at least 5 years and their term infants</t>
  </si>
  <si>
    <t>No Tdap (PT)</t>
  </si>
  <si>
    <t>mean 31.8 yr (SD 6.2)</t>
  </si>
  <si>
    <t>Parity
Uniparous: 10
Multiparous: 8</t>
  </si>
  <si>
    <t>Women not vaccinated with an aP-containing vaccine for at least 5 years and their preterm infants</t>
  </si>
  <si>
    <t>Fallo 2018</t>
  </si>
  <si>
    <t>Hospital D.F. Santojanni (obstetrics/gynecology and pediatrics), Buenos Aires, Argentina; Hospital de Niños "Ricardo Gutiérrez" (blood center and laboratory); Instituto Nacional de Microbiología Dr. C. Malbran (National Reference Center, antibody assays)</t>
  </si>
  <si>
    <t>Study period 1: 2011-2012 (women did not get Tdap)
Study period 2: 2013-2014 (pregnant women got Tdap during pregnancy)</t>
  </si>
  <si>
    <t>IgG-PT</t>
  </si>
  <si>
    <t>Argentina</t>
  </si>
  <si>
    <r>
      <rPr>
        <b/>
        <sz val="10"/>
        <color theme="1"/>
        <rFont val="Arial"/>
        <family val="2"/>
      </rPr>
      <t>Inclusion</t>
    </r>
    <r>
      <rPr>
        <sz val="10"/>
        <color theme="1"/>
        <rFont val="Arial"/>
        <family val="2"/>
      </rPr>
      <t xml:space="preserve">: "Women were eligible for inclusion if they were ≥18 years old, gave birth at ≥37 weeks’ gestation, had a singleton pregnancy, and had no underlying chronic medical conditions."
</t>
    </r>
    <r>
      <rPr>
        <b/>
        <sz val="10"/>
        <color theme="1"/>
        <rFont val="Arial"/>
        <family val="2"/>
      </rPr>
      <t>Exclusion</t>
    </r>
    <r>
      <rPr>
        <sz val="10"/>
        <color theme="1"/>
        <rFont val="Arial"/>
        <family val="2"/>
      </rPr>
      <t>: "Excluded were mothers who had obstetric complications, a cough that lasted &gt;2 weeks, and/or received immunoglobulins, immunosuppressive drugs (including high-dose steroids), or blood products in the previous year. Newborns were excluded if their birth weight was &lt;2000 g."</t>
    </r>
  </si>
  <si>
    <t>Infants of vaccinated mothers followed up to 2 months of age (mean 61.8 ± 8 days)</t>
  </si>
  <si>
    <t>"This work was supported in part by 2 postdoctoral fellowships from Carrillo-Oñativia 2011–2012 (to G. V. M.) and the National Committee Research in Health, Argentine National Ministry of Health, Buenos Aires, Argentina, 2013–2014 (to S. E. N.)."</t>
  </si>
  <si>
    <t>204 pregnant women (paired mother/cord serum samples)</t>
  </si>
  <si>
    <t>105 pregnant women (paired mother/cord serum samples)</t>
  </si>
  <si>
    <t>26.5 ± 6.3 years</t>
  </si>
  <si>
    <t>24.7 ± 4.8 weeks (range 13.2–36.6)</t>
  </si>
  <si>
    <t>"had no underlying
chronic medical conditions"</t>
  </si>
  <si>
    <t>Parity: 1.2 ± 1.4</t>
  </si>
  <si>
    <t>"Paired mother and cord serum samples"</t>
  </si>
  <si>
    <t>99 pregnant women (paired mother/cord serum samples)</t>
  </si>
  <si>
    <t>26.7 ± 6.5 years</t>
  </si>
  <si>
    <t>Parity: 1.6 ± 2.1</t>
  </si>
  <si>
    <t>Skoff 2024</t>
  </si>
  <si>
    <t>6 US Emerging Infection Program Network states (CA, CT, MN, NM, NY, OR)</t>
  </si>
  <si>
    <t>2011-2014</t>
  </si>
  <si>
    <t>VE (pertussis prevention), cough onset (0 DTaP vs. Case/Control)</t>
  </si>
  <si>
    <t>infants with pertussis aged 2 to &lt;6 months with cough onset [...] identified through routine pertussis surveillance conducted in 6 Emerging Infections Program Network sites
were born in a hospital in their state of residence, were ≥37 weeks’ gestational age at birth, were not adopted or in foster care, and did not live in a residential care facility. 
Control infants were identified from birth certificate records at the birth hospital of the corresponding case infant; we attempted to recruit 3 control infants per case infant who were 2 to &lt;6 months of age on the case infant's cough onset date</t>
  </si>
  <si>
    <t>JF: 6mo
MW: NR</t>
  </si>
  <si>
    <t>Financial support. This work was supported by a Centers for Disease Control and Prevention cooperative agreement with the Emerging Infections Program Network.</t>
  </si>
  <si>
    <t>1262 infants</t>
  </si>
  <si>
    <t>196 before pregnancy
175 during pregnancy</t>
  </si>
  <si>
    <r>
      <rPr>
        <b/>
        <sz val="10"/>
        <color theme="1"/>
        <rFont val="Arial"/>
        <family val="2"/>
      </rPr>
      <t>196 before pregnancy:</t>
    </r>
    <r>
      <rPr>
        <sz val="10"/>
        <color theme="1"/>
        <rFont val="Arial"/>
        <family val="2"/>
      </rPr>
      <t xml:space="preserve"> Mothers vaccinated BEFORE pregnancy because of the definition: "Mothers were classified as vaccinated before pregnancy if the most recent Tdap dose was received at any point
before pregnancy with the case or control infant"
</t>
    </r>
    <r>
      <rPr>
        <b/>
        <sz val="10"/>
        <color theme="1"/>
        <rFont val="Arial"/>
        <family val="2"/>
      </rPr>
      <t xml:space="preserve">
175 during pregnancy</t>
    </r>
    <r>
      <rPr>
        <sz val="10"/>
        <color theme="1"/>
        <rFont val="Arial"/>
        <family val="2"/>
      </rPr>
      <t>: "vaccinated during pregnancy if they received Tdap ≥14 days before delivery"</t>
    </r>
  </si>
  <si>
    <t>Mothers and infants were considered unvaccinated if all healthcare providers identified during the interview were contacted and were unable to provide documentation of pertussis vaccination and no pertussis vaccine doses were identified in the state immunization registry</t>
  </si>
  <si>
    <t>Orije 2021</t>
  </si>
  <si>
    <t>MAMA;
NCT02511327</t>
  </si>
  <si>
    <t>01/2015 - 01/2019</t>
  </si>
  <si>
    <t>IgA, IgG levels (Anti-PT)</t>
  </si>
  <si>
    <t>A prospective cohort study (N = 234: NCT02511327) conducted in Flanders, Belgium, recruited women before and soon after delivery who were either vaccinated or not vaccinated with a pertussis-containing vaccine (Tdap, Boostrix, GSK Biologicals) during pregnancy. 
Women suffering from mental illness,immunological disorders, or receiving experimental medication during pregnancy were excluded. Here, only lactating women of the study were included.</t>
  </si>
  <si>
    <t>12 weeks postpartum.</t>
  </si>
  <si>
    <t>This project was funded by the Research Foundation–Flanders (FWO G064015N). An unrestricted grant from Sanofi Pasteur was received for the laboratory analysis of the samples. K. M. is the beneficiary of a postdoctoral mandated fellowship from the Research Foundation–Flanders (FWO 12R5719N). S. A. H. acknowledges funding by the European Research Council under the European Union’s Horizon 2020 Research and Innovation Program (grant agreement 682540 TransMID).</t>
  </si>
  <si>
    <t>Immunological disorders: 0%</t>
  </si>
  <si>
    <t xml:space="preserve">mean 31.3 yr (SD 3.7) </t>
  </si>
  <si>
    <t xml:space="preserve">median 29.4 wk (min-max: 16.9–36.4) </t>
  </si>
  <si>
    <t>Parity
Uniparous: 50
Multiparous: 37</t>
  </si>
  <si>
    <t>Vaccinated with a pertussis-containing vaccine (Tdap, Boostrix, GSK Biologicals) during pregnancy</t>
  </si>
  <si>
    <t>Between 24 and 32 GA</t>
  </si>
  <si>
    <t xml:space="preserve">mean 30.6 yr (SD 3.9) </t>
  </si>
  <si>
    <t>median 28.3 wk (min-max: 23.4–35.9)</t>
  </si>
  <si>
    <t>Parity
Uniparous: 45
Multiparous: 18</t>
  </si>
  <si>
    <t xml:space="preserve">mean 31.3 yr (SD 3.0) </t>
  </si>
  <si>
    <t>Parity
Uniparous: 8
Multiparous: 7</t>
  </si>
  <si>
    <t>Not vaccinated with a pertussis-containing vaccine (Tdap, Boostrix, GSK Biologicals) during pregnancy</t>
  </si>
  <si>
    <t>mean 31.6 yr (SD 4.7)</t>
  </si>
  <si>
    <t>Parity
Uniparous: 7
Multiparous: 5</t>
  </si>
  <si>
    <t>VandenBosch 2026</t>
  </si>
  <si>
    <t>"Daycare centers in Belgium regions (Flanders, Wallonia, Brussels).
NCT02888457 (Carriage of Streptococcus Pneumoniae in Infants With Acute Otitis Media and in Infants Attending Day-care Centers)"</t>
  </si>
  <si>
    <t>11/2018 - 06/2022</t>
  </si>
  <si>
    <t>Exclusion criteria for the primary pneumococcal carriage study included recent oral antibiotic use (within 7 days), lack of parental consent and severe comorbid conditions.</t>
  </si>
  <si>
    <t>NCT02888457</t>
  </si>
  <si>
    <t>"This work was supported by an investigator-initiated research grant from Pfizer."</t>
  </si>
  <si>
    <t>3298 children*</t>
  </si>
  <si>
    <t>mean 18.4 yr (SD 6.9)</t>
  </si>
  <si>
    <t>At least one parent smokes
No: 2000
Yes: 372</t>
  </si>
  <si>
    <t>Tdap-vaccinated mothers during pregnancy</t>
  </si>
  <si>
    <t>pneumococcal conjugate vaccines</t>
  </si>
  <si>
    <t>mean 18.3 yr (SD 6.8)</t>
  </si>
  <si>
    <t>At least one parent smokes
No: 702
Yes: 220</t>
  </si>
  <si>
    <t>Tdap-unvaccinated mothers during pregnancy</t>
  </si>
  <si>
    <t>Sompagdee 2020</t>
  </si>
  <si>
    <t>NCT03498300; Siriraj Hospital, Bangkok, Thailand</t>
  </si>
  <si>
    <t>04/2018-04/2019</t>
  </si>
  <si>
    <t>Pregnancy, puerperium and perinatal conditions
- Gestational diabetes mellitus
- Preeclampsia
- Preterm delivery
- Threatened preterm labor resulting in hospitalization
- Stillbirth or neonatal death
- Prolonged hospitalization after birth
Reproductive system and breast disorders
- Postpartum hemorrhage
Congenital, familial and genetic disorders
- Congenital defects
Respiratory, thoracic and mediastinal disorders
General disorders and administration site conditions
Investigations</t>
  </si>
  <si>
    <t>Thailand</t>
  </si>
  <si>
    <r>
      <rPr>
        <sz val="10"/>
        <color theme="1"/>
        <rFont val="Arial"/>
        <family val="2"/>
      </rPr>
      <t xml:space="preserve">The </t>
    </r>
    <r>
      <rPr>
        <b/>
        <sz val="10"/>
        <color theme="1"/>
        <rFont val="Arial"/>
        <family val="2"/>
      </rPr>
      <t xml:space="preserve">inclusion </t>
    </r>
    <r>
      <rPr>
        <sz val="10"/>
        <color theme="1"/>
        <rFont val="Arial"/>
        <family val="2"/>
      </rPr>
      <t>criteria consisted of maternal age 18 years old or more, gestational age &lt;20 weeks, and no fetal major congenital malformations. Patients were excluded if they were immunocompromised (e.g., HIV infection, preexisting autoimmune disease), exposed to immunosuppressive agents (e.g., steroids, chemotherapy), had a contraindication for pertussis vaccine (e.g., serious allergic reaction, encephalopathy, Guillain-Barré syndrome), or had a previous history of Tdap vaccination.
"</t>
    </r>
    <r>
      <rPr>
        <b/>
        <sz val="10"/>
        <color theme="1"/>
        <rFont val="Arial"/>
        <family val="2"/>
      </rPr>
      <t xml:space="preserve">excluded </t>
    </r>
    <r>
      <rPr>
        <sz val="10"/>
        <color theme="1"/>
        <rFont val="Arial"/>
        <family val="2"/>
      </rPr>
      <t>if they were immunocompromised (e.g., HIV infection, preexisting autoimmune disease), exposed to immunosuppressive agents (e.g., steroids, chemotherapy), had a contraindication for pertussis vaccine (e.g., serious allergic reaction, encephalopathy, Guillain-Barré syndrome), or had a previous history of Tdap vaccination"</t>
    </r>
  </si>
  <si>
    <t>7 days</t>
  </si>
  <si>
    <r>
      <rPr>
        <sz val="10"/>
        <rFont val="Arial"/>
        <family val="2"/>
      </rPr>
      <t xml:space="preserve">NCT03498300
</t>
    </r>
    <r>
      <rPr>
        <u/>
        <sz val="10"/>
        <color rgb="FF1155CC"/>
        <rFont val="Arial"/>
        <family val="2"/>
      </rPr>
      <t>https://clinicaltrials.gov/study/NCT03498300</t>
    </r>
    <r>
      <rPr>
        <sz val="10"/>
        <rFont val="Arial"/>
        <family val="2"/>
      </rPr>
      <t xml:space="preserve"> </t>
    </r>
  </si>
  <si>
    <t>This study was supported by a grant from the Siriraj Research Development Fund (Managed by Routine to Research: R2R; grant no. R016135032).</t>
  </si>
  <si>
    <t>30 ± 6.1 years</t>
  </si>
  <si>
    <t>NR*</t>
  </si>
  <si>
    <t>Nulliparity = 74 (57.4%)</t>
  </si>
  <si>
    <t>29.9 ± 5.6</t>
  </si>
  <si>
    <t xml:space="preserve"> 29.3 ± 1.7</t>
  </si>
  <si>
    <r>
      <rPr>
        <sz val="10"/>
        <color theme="1"/>
        <rFont val="Arial"/>
        <family val="2"/>
      </rPr>
      <t xml:space="preserve">Each 0.5 ml dose of </t>
    </r>
    <r>
      <rPr>
        <b/>
        <sz val="10"/>
        <color theme="1"/>
        <rFont val="Arial"/>
        <family val="2"/>
      </rPr>
      <t xml:space="preserve">Tdap </t>
    </r>
    <r>
      <rPr>
        <sz val="10"/>
        <color theme="1"/>
        <rFont val="Arial"/>
        <family val="2"/>
      </rPr>
      <t>vaccine (Boostrix, GlaxoSmithKline Biologicals, Rixensart, Belgium) consisted of 2.5 limit of flocculation (Lf) of diphtheria toxoid (DT), 5 Lf of tetanus toxoid (TT), 8 micrograms (mg) of inactivated pertussis toxin (PT), 8 mg of formaldehyde-treated filamentous hemagglutinin (FHA), and 2.5 mg of formaldehyde-treated pertactin (PRN) adjuvanted with aluminum hydroxide. Td vaccine (Masu Co., Ltd, Serum Institute of India, India) in each 0.5 ml contained ≥5 Lf of DT, ≥5 Lf of TT, and absorbed on 1.25 mil (mg) of aluminum phosphate</t>
    </r>
  </si>
  <si>
    <t>27–36 weeks per CDC recommendation</t>
  </si>
  <si>
    <t>29.8 ± 7.4</t>
  </si>
  <si>
    <t>29.4 ± 1.8</t>
  </si>
  <si>
    <r>
      <rPr>
        <sz val="10"/>
        <color theme="1"/>
        <rFont val="Arial"/>
        <family val="2"/>
      </rPr>
      <t xml:space="preserve">Each 0.5 ml dose of </t>
    </r>
    <r>
      <rPr>
        <b/>
        <sz val="10"/>
        <color theme="1"/>
        <rFont val="Arial"/>
        <family val="2"/>
      </rPr>
      <t xml:space="preserve">Tdap </t>
    </r>
    <r>
      <rPr>
        <sz val="10"/>
        <color theme="1"/>
        <rFont val="Arial"/>
        <family val="2"/>
      </rPr>
      <t>vaccine (Boostrix, GlaxoSmithKline Biologicals, Rixensart, Belgium) consisted of 2.5 limit of flocculation (Lf) of diphtheria toxoid (DT), 5 Lf of tetanus toxoid (TT), 8 micrograms (mg) of inactivated pertussis toxin (PT), 8 mg of formaldehyde-treated filamentous hemagglutinin (FHA), and 2.5 mg of formaldehyde-treated pertactin (PRN) adjuvanted with aluminum hydroxide. Td vaccine (Masu Co., Ltd, Serum Institute of India, India) in each 0.5 ml contained ≥5 Lf of DT, ≥5 Lf of TT, and absorbed on 1.25 mil (mg) of aluminum phosphate</t>
    </r>
  </si>
  <si>
    <r>
      <rPr>
        <sz val="10"/>
        <color theme="1"/>
        <rFont val="Arial"/>
        <family val="2"/>
      </rPr>
      <t xml:space="preserve">Each 0.5 ml dose of </t>
    </r>
    <r>
      <rPr>
        <b/>
        <sz val="10"/>
        <color theme="1"/>
        <rFont val="Arial"/>
        <family val="2"/>
      </rPr>
      <t xml:space="preserve">Tdap </t>
    </r>
    <r>
      <rPr>
        <sz val="10"/>
        <color theme="1"/>
        <rFont val="Arial"/>
        <family val="2"/>
      </rPr>
      <t>vaccine (Boostrix, GlaxoSmithKline Biologicals, Rixensart, Belgium) consisted of 2.5 limit of flocculation (Lf) of diphtheria toxoid (DT), 5 Lf of tetanus toxoid (TT), 8 micrograms (mg) of inactivated pertussis toxin (PT), 8 mg of formaldehyde-treated filamentous hemagglutinin (FHA), and 2.5 mg of formaldehyde-treated pertactin (PRN) adjuvanted with aluminum hydroxide. Td vaccine (Masu Co., Ltd, Serum Institute of India, India) in each 0.5 ml contained ≥5 Lf of DT, ≥5 Lf of TT, and absorbed on 1.25 mil (mg) of aluminum phosphate</t>
    </r>
  </si>
  <si>
    <t>28.5 ± 6.0</t>
  </si>
  <si>
    <t>Recieved Td</t>
  </si>
  <si>
    <t>Vaz-de-Lima 2019</t>
  </si>
  <si>
    <t>Boostrix (GSK Biologicals, Rixensart, Belgium), licensed in Brazil as Refortrix</t>
  </si>
  <si>
    <t>Hospital and Maternity Interlagos and the Hospital Leonor Mendes de Barros, in São Paulo, Brazil. Centralized Information System from National Immunization Program (SI-PNI).</t>
  </si>
  <si>
    <t>07/2015 - 08/2016</t>
  </si>
  <si>
    <t>Anti-PT IgG (maternal + cord blood)</t>
  </si>
  <si>
    <t>Inclusion criteria included maternal age 18 years, availability of maternal vaccination records, delivery between weeks 37 and 42 of gestation, and a non-twin newborn. Exclusion criteria included newborn weight &lt;2500 g, pregnant women with vaccination &lt;15 days prior to delivery, multiple or recent (within three months) blood transfusions, immunosuppressive therapy (period 15 days), cardiac, renal, or neurologic disorders, cough illness lasting 2 weeks with one of the pertussis symptoms (paroxysms, ‘‘whoop,” or posttussive vomiting).</t>
  </si>
  <si>
    <t>This work was supported by the Fundo Especial de Saúde para Imunização em Massa e Controle de Doenças (FESIMA), Instituto Adolfo Lutz, Coordenadoria de Controle de Doenças, Secretaria de Estado da Saúde de São Paulo SP, Fundação de Amparo à Pesquisa do Estado de São Paulo (FAPESP 2015/16157-1), and the Latin. American Pertussis Project, a collaboration between the US Centers for Disease Control and Prevention, the Pan American Health Organization, the Sabin Vaccine Institute, and selected ministries of health to strengthen pertussis surveillance in Latin America.</t>
  </si>
  <si>
    <t>318 pregnant participants</t>
  </si>
  <si>
    <t>mean 28.5 years</t>
  </si>
  <si>
    <t>mean 39.3 weeks</t>
  </si>
  <si>
    <t>Smoking during pregnancy
Yes: 35
No: 279</t>
  </si>
  <si>
    <t>Nulliparous
Yes: 101
No: 216</t>
  </si>
  <si>
    <t>Number of antenatal visits
&lt;7: 64
&gt;=7: 251
Prenatal service
Public: 281
Private: 6
Mixed: 1</t>
  </si>
  <si>
    <t>mean 29.0 yr (SD 6.4)</t>
  </si>
  <si>
    <t>30.1 (3.2) weeks</t>
  </si>
  <si>
    <t>Smoking during pregnancy
Yes: 22
No: 217</t>
  </si>
  <si>
    <t>Nulliparous
Yes: 75
No: 167</t>
  </si>
  <si>
    <t>Number of antenatal visits
&lt;7: 39
&gt;=7: 202
Prenatal service
Public: 211
Private: 2
Mixed: 1</t>
  </si>
  <si>
    <t>The vaccine for all pregnant women was administered intra-muscularly into the deltoid muscle during a routine pregnancy check-up. The vaccine used was Boostrix (GSK Biologicals, Rixensart, Belgium), licensed in Brazil as Refortrix, which contains 20 International Units (IU) of tetanus toxoid, 2 IU of diphtheria toxoid, 8 lg of inactivated pertussis toxoid, 8 lg of filamentous haemagglutinin (FHA), and 2.5 lg of pertactin.</t>
  </si>
  <si>
    <t>mean 27.0 yr (SD 6.5)</t>
  </si>
  <si>
    <t>Smoking during pregnancy
Yes: 13
No: 62</t>
  </si>
  <si>
    <t>Nulliparous
Yes: 26
No: 49</t>
  </si>
  <si>
    <t>Number of antenatal visits
&lt;7: 25
&gt;=7: 49
Prenatal service
Public: 70
Private: 4
Mixed: 0</t>
  </si>
  <si>
    <t>VillarrealPérez 2017</t>
  </si>
  <si>
    <t>Adacel</t>
  </si>
  <si>
    <t>Outpatient health centers of the Nuevo Leon Health Services, Monterrey, Mexico.
NCT01445743 (Immunogenicity and Safety of an Acellular DPT Vaccine During Pregnancy)</t>
  </si>
  <si>
    <t>09/2011 - 08/2014</t>
  </si>
  <si>
    <t>anti-PRN and anti-PT IgG</t>
  </si>
  <si>
    <t>Nervous system disorders, General disorders and administration site conditions, Gastrointestinal disorders, Musculoskeletal and connective tissue disorders</t>
  </si>
  <si>
    <t>Mexico</t>
  </si>
  <si>
    <t>The women were 18 to 38 y of age, had a low obstetric risk, a normal anatomical ultrasound in the second trimester of pregnancy
Women who did not meet the inclusion criteria (7), suffered a psychiatric disease (schizophrenia, psychosis, major depression) or a severe physical disease (diabetes mellitus, hypertension or degenerative diseases), consumed drugs or tobacco, had a history of severe reactions to any vaccine or had had a febrile illness in the 72 hours prior to vaccination were excluded. Some women who had been immunized against tetanus and/or pertussis in the 2 y prior to the study or who refused to participate were also excluded.
Additionally, women who developed any severe disease during pregnancy, who had an abortion and those who were lost to follow-up during pregnancy or whose child was lost to follow-up were excluded.</t>
  </si>
  <si>
    <t>NCT01445743</t>
  </si>
  <si>
    <t>171 pregnant participants</t>
  </si>
  <si>
    <t>Diabetes mellitus: 0%
Hypertension: 0%</t>
  </si>
  <si>
    <t>Drugs: 0%
Tobacco: 0%</t>
  </si>
  <si>
    <t>mean 23.8 yr (SD 4.8)</t>
  </si>
  <si>
    <t>No. of pregnancies: mean 2.2 (SD 1.2)
No. of births: mean 0.7 (SD 1.0)</t>
  </si>
  <si>
    <t>Administration of the Tdap vaccine</t>
  </si>
  <si>
    <t>Between weeks 30 and 32 of gestation</t>
  </si>
  <si>
    <t>mean 23.7 yr (SD 5.0)</t>
  </si>
  <si>
    <t>No. of pregnancies: 2.3 (SD 1.1)
No. of births: 0.8 (SD 1.0)</t>
  </si>
  <si>
    <t>Administration of placebo</t>
  </si>
  <si>
    <t>Kildegaard 2025</t>
  </si>
  <si>
    <t>diTekiBooster (manufacturer NR)
Boostrix (GlaxoSmithKline)
Triaxis (Sanofi Pasteur)</t>
  </si>
  <si>
    <t xml:space="preserve">
Danish Medical Birth Register; Danish National Patient Register; Danish Vaccination Register; Danish Microbiology Database; Statistics Denmark; nationwide population-based registers linked via unique national identification numbers.
Protocol- Real-World Evidence Registry https://doi.org/10.17605/OSF.IO/M4TPW*</t>
  </si>
  <si>
    <t>11/2019 - 12/2023</t>
  </si>
  <si>
    <t>Laboratory confirmed pertussis, Pertussis-related hospital contact</t>
  </si>
  <si>
    <t>preeclampsia, HELLP syndrome, Chorioamnionitis, Preterm prelabour rupture of membranes, Preterm birth, Stillbirth, Low birth weight, Small for gestational age, Congenital, familial and genetic disorders, Infections and infestations</t>
  </si>
  <si>
    <t>Denmark</t>
  </si>
  <si>
    <r>
      <rPr>
        <b/>
        <sz val="10"/>
        <color theme="1"/>
        <rFont val="Arial"/>
        <family val="2"/>
      </rPr>
      <t>INCLUDE</t>
    </r>
    <r>
      <rPr>
        <sz val="10"/>
        <color theme="1"/>
        <rFont val="Arial"/>
        <family val="2"/>
      </rPr>
      <t xml:space="preserve">: Pregnancies reaching at least 24 weeks of gestation. 
</t>
    </r>
    <r>
      <rPr>
        <b/>
        <sz val="10"/>
        <color theme="1"/>
        <rFont val="Arial"/>
        <family val="2"/>
      </rPr>
      <t>For maternal safety cohort</t>
    </r>
    <r>
      <rPr>
        <sz val="10"/>
        <color theme="1"/>
        <rFont val="Arial"/>
        <family val="2"/>
      </rPr>
      <t xml:space="preserve">: first pregnancies during the study period. 
</t>
    </r>
    <r>
      <rPr>
        <b/>
        <sz val="10"/>
        <color theme="1"/>
        <rFont val="Arial"/>
        <family val="2"/>
      </rPr>
      <t>For infant outcomes cohort</t>
    </r>
    <r>
      <rPr>
        <sz val="10"/>
        <color theme="1"/>
        <rFont val="Arial"/>
        <family val="2"/>
      </rPr>
      <t xml:space="preserve">: all pregnancies resulting in live births. 
Tdap vaccinations included only if administered between 24+0 and 38+6 gestational weeks.
"Since November 1, 2019, Denmark has recommended Tdap vaccination (diTekiBooster, Boostrix or Triaxis) in the second or third trimester, typically administered during standard prenatal examinations at 32 weeks. Vaccinations are recorded in the Danish Vaccination Register, with this study including only those administered between 24 + 0 and 38 + 6 gestational weeks"
</t>
    </r>
    <r>
      <rPr>
        <b/>
        <sz val="10"/>
        <color theme="1"/>
        <rFont val="Arial"/>
        <family val="2"/>
      </rPr>
      <t>EXCLUDE</t>
    </r>
    <r>
      <rPr>
        <sz val="10"/>
        <color theme="1"/>
        <rFont val="Arial"/>
        <family val="2"/>
      </rPr>
      <t>: Pregnancies with pertussis vaccination before 24 weeks were excluded, as this was not recommended by Danish health authorities.</t>
    </r>
  </si>
  <si>
    <t>3 months of age</t>
  </si>
  <si>
    <r>
      <rPr>
        <sz val="10"/>
        <rFont val="Arial"/>
        <family val="2"/>
      </rPr>
      <t xml:space="preserve">Real-World Evidence Registry
</t>
    </r>
    <r>
      <rPr>
        <u/>
        <sz val="10"/>
        <color rgb="FF1155CC"/>
        <rFont val="Arial"/>
        <family val="2"/>
      </rPr>
      <t>https://osf.io/m4tpw/overview</t>
    </r>
    <r>
      <rPr>
        <sz val="10"/>
        <rFont val="Arial"/>
        <family val="2"/>
      </rPr>
      <t xml:space="preserve"> </t>
    </r>
  </si>
  <si>
    <t>No external funding was received for this work.</t>
  </si>
  <si>
    <t>213,459 pregnancies</t>
  </si>
  <si>
    <t>Tdap - Pregnancy</t>
  </si>
  <si>
    <t>Median 30.2 yr (IQR 27.5–33.4)</t>
  </si>
  <si>
    <t>Trimester at vaccination, n (%)
T2: 5235 (10.3)
T3: 47580 (89.7)</t>
  </si>
  <si>
    <r>
      <rPr>
        <sz val="10"/>
        <color theme="1"/>
        <rFont val="Arial"/>
        <family val="2"/>
      </rPr>
      <t xml:space="preserve">Pre-existing hypertension: 367 (0.7%); 
Chronic lung disease: 607 (1.2%); 
Cardiovascular disease: 308 (0.6%); 
Diabetes: 297 (0.6%); 
Chronic kidney disease: 176 (0.4%); 
Autoimmune disease: 790 (1.6%); 
Epilepsy: 191 (0.4%); 
Previous preeclampsia: 225 (0.4%). 
</t>
    </r>
    <r>
      <rPr>
        <b/>
        <sz val="10"/>
        <color theme="1"/>
        <rFont val="Arial"/>
        <family val="2"/>
      </rPr>
      <t xml:space="preserve">BMI: </t>
    </r>
    <r>
      <rPr>
        <sz val="10"/>
        <color theme="1"/>
        <rFont val="Arial"/>
        <family val="2"/>
      </rPr>
      <t xml:space="preserve">
Underweight (&lt;18.5) 1,712 (3.4%); 
Normal weight (18.5–&lt;25) 29,451 (58.0%); 
Overweight (25–&lt;30) 11,524 (22.7%); 
Obese (≥30) 7,302 (14.4%)</t>
    </r>
  </si>
  <si>
    <t>Smoking during pregnancy: Yes 3,224 (6.3%),</t>
  </si>
  <si>
    <r>
      <rPr>
        <b/>
        <sz val="10"/>
        <color theme="1"/>
        <rFont val="Arial"/>
        <family val="2"/>
      </rPr>
      <t>Parity, n (%)</t>
    </r>
    <r>
      <rPr>
        <sz val="10"/>
        <color theme="1"/>
        <rFont val="Arial"/>
        <family val="2"/>
      </rPr>
      <t xml:space="preserve">
0   25 701 (50.6)
1   18 031 (35.5)
2+  7082 (13.9)</t>
    </r>
  </si>
  <si>
    <t>"All pregnant individuals in Denmark have access to free prenatal care, including influenza vaccination from October to February and COVID-19 vaccinations from 2021 to 2024. Postpartum immunization programmes are not implemented in Denmark."</t>
  </si>
  <si>
    <t>Tdap vaccination (diTekiBooster, Boostrix or Triaxis) in the second or third trimester, typically administered during standard prenatal examinations at 32 weeks.</t>
  </si>
  <si>
    <r>
      <rPr>
        <sz val="10"/>
        <color theme="1"/>
        <rFont val="Arial"/>
        <family val="2"/>
      </rPr>
      <t xml:space="preserve">between </t>
    </r>
    <r>
      <rPr>
        <b/>
        <sz val="10"/>
        <color theme="1"/>
        <rFont val="Arial"/>
        <family val="2"/>
      </rPr>
      <t xml:space="preserve">24 + 0 </t>
    </r>
    <r>
      <rPr>
        <sz val="10"/>
        <color theme="1"/>
        <rFont val="Arial"/>
        <family val="2"/>
      </rPr>
      <t xml:space="preserve">and </t>
    </r>
    <r>
      <rPr>
        <b/>
        <sz val="10"/>
        <color theme="1"/>
        <rFont val="Arial"/>
        <family val="2"/>
      </rPr>
      <t>38 + 6</t>
    </r>
    <r>
      <rPr>
        <sz val="10"/>
        <color theme="1"/>
        <rFont val="Arial"/>
        <family val="2"/>
      </rPr>
      <t xml:space="preserve"> gestational weeks
"Vaccinations are recorded in the Danish Vaccination Register, with this study including only those administered between 24 + 0 and 38 + 6 gestational weeks"</t>
    </r>
  </si>
  <si>
    <r>
      <rPr>
        <b/>
        <sz val="10"/>
        <color theme="1"/>
        <rFont val="Arial"/>
        <family val="2"/>
      </rPr>
      <t xml:space="preserve">Before index date: 
</t>
    </r>
    <r>
      <rPr>
        <sz val="10"/>
        <color theme="1"/>
        <rFont val="Arial"/>
        <family val="2"/>
      </rPr>
      <t xml:space="preserve">43% influenza, 
6.1% COVID-19. 
</t>
    </r>
    <r>
      <rPr>
        <b/>
        <sz val="10"/>
        <color theme="1"/>
        <rFont val="Arial"/>
        <family val="2"/>
      </rPr>
      <t xml:space="preserve">During follow-up: 
</t>
    </r>
    <r>
      <rPr>
        <sz val="10"/>
        <color theme="1"/>
        <rFont val="Arial"/>
        <family val="2"/>
      </rPr>
      <t>additional 6.5% influenza, 
2.0% COVID-19.</t>
    </r>
  </si>
  <si>
    <t>No Tdap - Pregnany</t>
  </si>
  <si>
    <t>Median 30.3 (27.3–33.6)</t>
  </si>
  <si>
    <r>
      <rPr>
        <sz val="10"/>
        <color theme="1"/>
        <rFont val="Arial"/>
        <family val="2"/>
      </rPr>
      <t xml:space="preserve">Pre-existing hypertension: 358 (0.7%); 
Chronic lung disease: 606 (1.2%); 
Cardiovascular disease: 308 (0.6%); 
Diabetes: 297 (0.6%); 
Chronic kidney disease: 177 (0.4%);
Autoimmune disease: 791 (1.6%); 
Epilepsy: 193 (0.4%); 
Previous preeclampsia: 272 (0.5%). 
</t>
    </r>
    <r>
      <rPr>
        <b/>
        <sz val="10"/>
        <color theme="1"/>
        <rFont val="Arial"/>
        <family val="2"/>
      </rPr>
      <t>BMI:</t>
    </r>
    <r>
      <rPr>
        <sz val="10"/>
        <color theme="1"/>
        <rFont val="Arial"/>
        <family val="2"/>
      </rPr>
      <t xml:space="preserve"> 
Underweight (&lt;18.5) 1,717 (3.4%); 
Normal weight (18.5–&lt;25) 29,463 (57.9%); 
Overweight (25–&lt;30) 11,563 (22.7%); 
Obese (≥30) 7,324 (14.4%)</t>
    </r>
  </si>
  <si>
    <r>
      <rPr>
        <b/>
        <sz val="10"/>
        <color theme="1"/>
        <rFont val="Arial"/>
        <family val="2"/>
      </rPr>
      <t>Parity, n (%)</t>
    </r>
    <r>
      <rPr>
        <sz val="10"/>
        <color theme="1"/>
        <rFont val="Arial"/>
        <family val="2"/>
      </rPr>
      <t xml:space="preserve">
0   25 730 (50.6)
1   18 054 (35.5)
2+  7101 (14.0%)</t>
    </r>
  </si>
  <si>
    <r>
      <rPr>
        <sz val="10"/>
        <color theme="1"/>
        <rFont val="Arial"/>
        <family val="2"/>
      </rPr>
      <t xml:space="preserve">Pregnant individuals who did </t>
    </r>
    <r>
      <rPr>
        <b/>
        <sz val="10"/>
        <color rgb="FFFF0000"/>
        <rFont val="Arial"/>
        <family val="2"/>
      </rPr>
      <t xml:space="preserve">not </t>
    </r>
    <r>
      <rPr>
        <sz val="10"/>
        <color theme="1"/>
        <rFont val="Arial"/>
        <family val="2"/>
      </rPr>
      <t>receive Tdap during pregnancy. Matched 1:1 to vaccinated individuals by calendar week, gestational days, and region</t>
    </r>
  </si>
  <si>
    <r>
      <rPr>
        <b/>
        <sz val="10"/>
        <color theme="1"/>
        <rFont val="Arial"/>
        <family val="2"/>
      </rPr>
      <t xml:space="preserve">Before index date: 
</t>
    </r>
    <r>
      <rPr>
        <sz val="10"/>
        <color theme="1"/>
        <rFont val="Arial"/>
        <family val="2"/>
      </rPr>
      <t xml:space="preserve">23% influenza, 
3.6% COVID-19. 
</t>
    </r>
    <r>
      <rPr>
        <b/>
        <sz val="10"/>
        <color theme="1"/>
        <rFont val="Arial"/>
        <family val="2"/>
      </rPr>
      <t xml:space="preserve">During follow-up: 
</t>
    </r>
    <r>
      <rPr>
        <sz val="10"/>
        <color theme="1"/>
        <rFont val="Arial"/>
        <family val="2"/>
      </rPr>
      <t>additional 8.7% influenza, 
1.5% COVID-19.</t>
    </r>
  </si>
  <si>
    <t>Tdap - prenatal</t>
  </si>
  <si>
    <t>Infants born to mothers who received Tdap vaccination during pregnancy between 24+0 and 38+6 weeks gestation.</t>
  </si>
  <si>
    <t>between 24 + 0 and 38 + 6 gestational weeks
"Vaccinations are recorded in the Danish Vaccination Register, with this study including only those administered between 24 + 0 and 38 + 6 gestational weeks"</t>
  </si>
  <si>
    <t>No Tdap- prenatal</t>
  </si>
  <si>
    <r>
      <rPr>
        <sz val="10"/>
        <color theme="1"/>
        <rFont val="Arial"/>
        <family val="2"/>
      </rPr>
      <t xml:space="preserve">Infants born to mothers who did </t>
    </r>
    <r>
      <rPr>
        <sz val="10"/>
        <color rgb="FFFF0000"/>
        <rFont val="Arial"/>
        <family val="2"/>
      </rPr>
      <t>NOT</t>
    </r>
    <r>
      <rPr>
        <sz val="10"/>
        <color theme="1"/>
        <rFont val="Arial"/>
        <family val="2"/>
      </rPr>
      <t xml:space="preserve"> received Tdap vaccination during pregnancy between 24+0 and 38+6 weeks gestation.</t>
    </r>
  </si>
  <si>
    <t>Perrett 2020</t>
  </si>
  <si>
    <t>Boostrix, GSK</t>
  </si>
  <si>
    <t>Australia, Canada, Czech Republic, Finland, Italy and Spain.
NCT02377349</t>
  </si>
  <si>
    <t>10/2015 - 10/2017</t>
  </si>
  <si>
    <t>Immunogenicity (Anti-PT)</t>
  </si>
  <si>
    <t>PPP Conditions (Intrauterine growth restriction/poor fetal growth, Pre-eclampsia, Pregnancy-related hypertension, Premature labor, Premature rupture of membranes, Preterm birth, Small for gestational age, Vaginal or intrauterine hemorrhage, Mean weight, kg, Mean Apgar score)
General disorders and administration site conditions
Nervous system disorders
Gastrointestinal disorders</t>
  </si>
  <si>
    <t>Australia, Canada, Czech Republic, Finland, Italy and Spain.</t>
  </si>
  <si>
    <t>We enrolled healthywomen 18–45 years old, at 27(0/7)–36(6/7)weeks’ gestation (as established by ultrasound examination), who were not at known risk of pregnancy-related complications and had a normal singleton pregnancy. Exclusion criteria included previous vaccination with diphtheria (toxoid), tetanus (toxoid) or pertussis antigens during the current pregnancy; history of physician-diagnosed or laboratory-confirmed pertussiswithin the past 5 years; chronic administration of immune-modifying drugs; immunosuppressive or other serious underlying medical conditions; and immunization within 30 days before/after study vaccine administration (except seasonal influenza vaccine). Detailed inclusion and exclusion criteria are provided in the Supplementary methods.</t>
  </si>
  <si>
    <t>2 months post-delivery</t>
  </si>
  <si>
    <t>NCT02377349</t>
  </si>
  <si>
    <t>This work was supported by GlaxoSmithKline Biologicals S.A., which was the funding source, was involved in all stages of the study conduct and analysis and paid for all costs associated with the development and publishing of this manuscript.</t>
  </si>
  <si>
    <t>Gestational diabetes: 0%
HIV: 0%
Immunosuppressive disease: 0%
Chronic hypertension: 0%
Moderate to severe asthma: 0%
Heart disease: 0%</t>
  </si>
  <si>
    <t>mean 32.7 yr (SD 4.4)</t>
  </si>
  <si>
    <t>mean 31.8 wk (SD 2.7)</t>
  </si>
  <si>
    <t>Women in the Tdap group received a single reduced-antigen-content Tdap dose at 27–36 weeks’ gestation (visit 1) and a placebo dose  72 h post-delivery; Each Tdap dose (Boostrix, GSK) contained  2 IU diphtheria toxoid, 20 IU tetanus toxoid, 8 mg pertussis toxoid (PT), 8 mg filamentous hemagglutinin (FHA), 2.5 mg pertactin (PRN) and 500 mg Al3+. Each placebo dose contained 150 mM NaCl. Both were injected intramuscularly in the deltoid muscle of the non-dominant arm.</t>
  </si>
  <si>
    <t>27–36 weeks’ gestation</t>
  </si>
  <si>
    <t>May have received seasonal influenza vaccine</t>
  </si>
  <si>
    <t>mean 32.5 yr (SD 4.3)</t>
  </si>
  <si>
    <t>mean 31.6 wk (SD 2.7)</t>
  </si>
  <si>
    <t>Women in the control group received the reverse—placebo at 27–36 weeks’ gestation and Tdap post-delivery</t>
  </si>
  <si>
    <t>Becerra-Culqui 2020</t>
  </si>
  <si>
    <t>Adacel 
(Sanofi Pasteur)</t>
  </si>
  <si>
    <t>01/2011 - 12/2014</t>
  </si>
  <si>
    <t>Attention-deficit/ hyperactivity disorder
(ADHD) diagnosis;
Preterm birth</t>
  </si>
  <si>
    <t>Eligibility was restricted to pregnant women without
assisted conceptions (i.e., in vitro fertilization) who had
a documented birth of a live singleton infant no later than 45
weeks’ gestation. Children’s medical records were linked to those of their biological mothers using unique identifiers.
Mother-child pairs were included if women had had continuous KPSC membership at least since the beginning of the 27th week of pregnancy (allowing for a ≤31-day gap) and
infants were members for at least 90 continuous days after turning 3 years of age. Eligibility criteria reflected expo-
sure opportunity, as the minimum gestational age recom-
mended for vaccination is 27 weeks’ gestation. In addition, requiring membership after age 3 years reflects the mini-
mum preschool age, when children would have the oppor-
tunity to be identified if behavioral manifestations consistent with ADHD were present. In addition, we only included
children with at least 1 outpatient visit during the observation period, to assure that everyone in the cohort had an oppor-
tunity to be seen by the KPSC health system. Finally, pairs were excluded if children were diagnosed with chromosomal
or congenital anomalies.</t>
  </si>
  <si>
    <t>NR(Children were followed to the date of their first ADHD diagnosis,
the end of Kaiser Permanente membership, or the end of follow-up (December 31, 2018))</t>
  </si>
  <si>
    <t>Kaiser Permanente Southern California internal research funds.</t>
  </si>
  <si>
    <t>85607maternal–infant pairs</t>
  </si>
  <si>
    <t>NR(≤25, 26–30, 31–34, ≥35
years)</t>
  </si>
  <si>
    <t>28 weeks (SD: 7.2)</t>
  </si>
  <si>
    <t>Pregestational hypertension(n:2835), Pregestational diabetes(n:1550)</t>
  </si>
  <si>
    <t>Smoking: 4239
Alcohol use: 520</t>
  </si>
  <si>
    <t>Parity = 0: 35394
1: 29653
≥2:20529</t>
  </si>
  <si>
    <t>Start of prenatal care =&lt; 3 months gestation: 76,953
&gt; 3mo gestation: 8157
No care / missing: 497
Medicaid: 6392</t>
  </si>
  <si>
    <t>mean 28w ±7.2 
median 29w 27-33 IQR</t>
  </si>
  <si>
    <t>Pre-gestational Hypertension: 3.1%(n=1278); pre-gestational DM: 1.7%(n=706); BMI: 27.0 (SD 6.30)</t>
  </si>
  <si>
    <t xml:space="preserve">Smoking: 4.9%(n=2051); alcohol use: 0.6%(n=262)
</t>
  </si>
  <si>
    <t>Parity 0: 45.0%(n=18801); 1: 33.1%(n=13828); ≥2: 21.9%(n=9150)</t>
  </si>
  <si>
    <t>Start of prenatal care =&lt; 3 months gestation: 37628(90.1%)
&gt; 3mo gestation: 3923(9.4)
No care / missing: 230(0.6)
Medicaid: 3014(7.2%)</t>
  </si>
  <si>
    <t>Flu: 27868(66.7%)</t>
  </si>
  <si>
    <t>Pre-gestational Hypertension: 3.6%(n=1557); pre-gestational DM: 1.9%(n=844); BMI: 27.0 (SD 6.29)</t>
  </si>
  <si>
    <t>Smoking: 5.0%(n=2188); alcohol use: 0.6%(n=258)</t>
  </si>
  <si>
    <t>Parity 0: 37.9%(n=16593); 1: 36.2%(n=15852); ≥2: 26.0%(n=11379)</t>
  </si>
  <si>
    <t>Start of prenatal care =&lt; 3 months gestation: 39325(89.7%)
&gt; 3mo gestation: 4234(9.7%)
No care / missing: 267(0.6%)
Medicaid: 3378(7.7%)</t>
  </si>
  <si>
    <t>Flu: 18285(41.7%)</t>
  </si>
  <si>
    <t>Romanin 2020</t>
  </si>
  <si>
    <t>6 hospitals in Buenos Aires, Neuquén, Tucumán, and Salta, Argentina</t>
  </si>
  <si>
    <t>09/2012-03/2016</t>
  </si>
  <si>
    <t>Lab-confirmed cases, Odds ratio for effectiveness in infants &lt; 2mo</t>
  </si>
  <si>
    <t>AR</t>
  </si>
  <si>
    <t>Cases included in the study met the national clinical case definition and were laboratory confirmed by conventional or real-time polymerase chain reaction (PCR). For conventional PCR, IS481 and pertussis toxin promoter region were the targets specified; for real-time PCR, IS481 and ptxS1 were used [18]. Exclusion criteria for potential case patients included history of prematurity (born at &lt;37 weeks’ gestational age), history of adoption, prior enrollment in the study as either a case patient or control, lack of any contact between the case patient and his mother subsequent to birth (eg, due to death or divorce), or maternal residence outside of Argentina from the 20th week of pregnancy until delivery.
...
Potential controls were excluded if they met the following criteria: presence of respiratory or cough illness on the date of the matched case patient’s cough onset, diagnosis of pertussis prior to the matched case patient’s cough onset date, history of immunosuppressive condition, history of a sibling already enrolled in the evaluation, history of prematurity (born at &lt;37 weeks’ gestational age), history of adoption, prior enrollment as a control, lack of any contact between the control and his mother, or maternal residence outside of Argentina from the 20th week of pregnancy until delivery.</t>
  </si>
  <si>
    <t>until 2M</t>
  </si>
  <si>
    <t>This work was supported by the Sabin Vaccine Institute through LAPP.</t>
  </si>
  <si>
    <t>371 infant</t>
  </si>
  <si>
    <t>Median: 28 days
range(1-60 days)</t>
  </si>
  <si>
    <t xml:space="preserve">
Median: 25 week(First trimester was defined as 1–13 weeks’ gestation, second trimester as 14–26 weeks’ gestation,
and third trimester as 27–42 weeks’ gestation.)</t>
  </si>
  <si>
    <t xml:space="preserve">Congenital disease:  38
Hospitalized at time of enrollment 204
</t>
  </si>
  <si>
    <t>Household member with a respiratory illness: 105</t>
  </si>
  <si>
    <t>median 25wk (18-37wk)</t>
  </si>
  <si>
    <t>Tdap vaccination during either 2nd or 3rd trimester</t>
  </si>
  <si>
    <t>median 25w (18-37w range)</t>
  </si>
  <si>
    <t>Sancovski 2019</t>
  </si>
  <si>
    <t>São Bernardo do Campo, São Paulo, Brazil</t>
  </si>
  <si>
    <t>Vax'ed: 05/2015-02/2017, Unvax'ed: 09/2012-08/2014</t>
  </si>
  <si>
    <t>Laboratory-confirmed/Any/Severe pertussis in infants  &lt;2 months, 2–&lt;6, &lt;6 months of age</t>
  </si>
  <si>
    <t>PPP conditions:
Gestational diabetes
Pregnancy‑related hypertension (including pre‑eclampsia, eclampsia, HELLP syndrome)
Pre‑eclampsia
Eclampsia
HELLP syndrome
Preterm birth
Small for gestational age
Premature rupture of membranes
Preterm premature rupture of membranes
Premature uterine contraction
Neonatal death
Stillbirth
Maternal death
Reproductive system and breast disorders
Vaginal hemorrhage
Congenital, familial and genetic disorders
Congenital anomalies (any)
Nervous system disorders
Neonatal hypoxic‑ischemic encephalopathy</t>
  </si>
  <si>
    <t>Full list here: https://clinicaltrials.gov/study/NCT02757950#participation-criteria\
A total of 2477 women were enrolled in the study,Had complete and relevant medical records available
For exposed cohort: received 1 dose of Tdap between 27–36 gestational weeks (some up to 39 weeks in rare cases),For unexposed cohort: pregnancy occurred before implementation of maternal Tdap program (2012–2014) and no Tdap exposure during pregnancy (per investigator knowledge)</t>
  </si>
  <si>
    <t>The follow-up period started at 27 weeks of gestation for women in the unexposed cohort and at the time of vaccination (27–39 weeks of gestation) for women in the exposed cohort (index date) and ended at the delivery date.</t>
  </si>
  <si>
    <t>NCT02757950; https://www.gskclinicalstudyregister.com/study (Study ID: 203153)</t>
  </si>
  <si>
    <t>This study and related publication were supported by GlaxoSmithKline Biologicals S.A.</t>
  </si>
  <si>
    <t>2477 pregnant women</t>
  </si>
  <si>
    <t xml:space="preserve">26.38y±6.2 </t>
  </si>
  <si>
    <t>mean 26.49y ±6.15</t>
  </si>
  <si>
    <t>Pregnant women vaccinated with Boostrix
(Single dose of Tdap vaccine (tetanus toxoid, reduced diphtheria toxoid, and acellular pertussis) administered during pregnancy as part of routine immunization program in Brazil to prevent infant pertussis via passive antibody transfer)</t>
  </si>
  <si>
    <t>27-36w gestation</t>
  </si>
  <si>
    <t>mean 26.28y ±6.24</t>
  </si>
  <si>
    <t>Mott 2021</t>
  </si>
  <si>
    <t>Medicaid Analytic eXtract (MAX), IBM MarketScan</t>
  </si>
  <si>
    <t>2010-2014, 2011-2015</t>
  </si>
  <si>
    <t>Pertussis cases (Table 2)</t>
  </si>
  <si>
    <t>To be included in the analysis, mothers must have been 12–55 years of age at the time of delivery and had continuous drug and medical insurance coverage from 90 days before estimated last menstrual period (LMP) through 30 days postpartum. In MAX, women were excluded if they had restricted benefits or other private insurance. Infants were required to be enrolled for a minimum of 1 month after date of birth. Women were excluded if they had Tdap vaccination during the baseline period (90 days before LMP). Figure 1 illustrates the study design.25 Women were excluded if their geographic location could not be determined. The unit of analysis for this study is the pregnancy. Women may have contributed more than 1 pregnancy to the study if they met the inclusion and exclusion criteria.</t>
  </si>
  <si>
    <t>6 months</t>
  </si>
  <si>
    <t>This study was funded by the Department of Epidemiology, Harvard Chan School of Public Health and the Division of Pharmacoepidemiology and Pharmacoeconomics, Department of Medicine, Brigham and Women’s Hospital. K.M. was partially funded by the Program of Pharmacoepidemiology at the Harvard Chan School which was supported with training grants from Pfizer, Bayer, UCB and ASISA.</t>
  </si>
  <si>
    <t>MarketScan- Tdap (pregnancy)</t>
  </si>
  <si>
    <t>mean 31.8 yr (SD 4.3)</t>
  </si>
  <si>
    <t>Healthcare visits, pregnancy: mean 7.4 (SD 5.1)</t>
  </si>
  <si>
    <t>Flu: 58708</t>
  </si>
  <si>
    <t>MarketScan- Tdap (delivery)</t>
  </si>
  <si>
    <t>mean 31.8 yr (SD 4.5)</t>
  </si>
  <si>
    <t>Healthcare visits, pregnancy: mean 6.9 (SD 5.0)</t>
  </si>
  <si>
    <t>Flu: 6269</t>
  </si>
  <si>
    <t>MarketScan- No Tdap</t>
  </si>
  <si>
    <t>mean 31.6 yr (SD 4.5)</t>
  </si>
  <si>
    <t>Healthcare visits, pregnancy: mean 7.2 (SD 5.1)</t>
  </si>
  <si>
    <t>Flu: 80130</t>
  </si>
  <si>
    <t>MAX- Tdap (pregnancy)</t>
  </si>
  <si>
    <t>mean 25.9 yr (SD 5.9)</t>
  </si>
  <si>
    <t>Healthcare visits, pregnancy: mean 8.5 (SD 7.9)</t>
  </si>
  <si>
    <t>Flu: 16113</t>
  </si>
  <si>
    <t>MAX- Tdap (delivery)</t>
  </si>
  <si>
    <t>mean 24.8 yr (SD 5.6)</t>
  </si>
  <si>
    <t>Healthcare visits, pregnancy: mean 7.4 (SD 6.4)</t>
  </si>
  <si>
    <t>Flu: 4337</t>
  </si>
  <si>
    <t>Max- No Tdap</t>
  </si>
  <si>
    <t>mean 25.2 yr (SD 5.9)</t>
  </si>
  <si>
    <t>Healthcare visits, pregnancy: mean 6.9 (SD 6.0)</t>
  </si>
  <si>
    <t>Flu: 89827</t>
  </si>
  <si>
    <t>Khodr 2017</t>
  </si>
  <si>
    <t>Department of Defense (DoD) Birth and Infant Health Registry; Military Health System Data Repository; Defense Manpower Data Center (DMDC) demographic data</t>
  </si>
  <si>
    <t>01/2006 - 12/2013</t>
  </si>
  <si>
    <t>Acute respiratory infection (ARI)</t>
  </si>
  <si>
    <t>Tdap vaccination during pregnancy was the exposure of interest; it was defined as the receipt of Tdap vaccine between LMP and delivery date, and identified in immunization data by the vaccine administered code (CVX) 115. Mothers who received more than 1 Tdap vaccination during pregnancy (n = 108) or received other vaccines against pertussis during pregnancy (n = 57, Supplementary Table 1) were excluded from analyses (Fig. 1). Additionally, 799 infants who received DTaP vaccination at &lt;2 months of age were also excluded from analyses.
Cases were defined as infants diagnosed with pertussis, other ARIs, and symptoms associated with ARI in the first 2 months of life based on ICD-9-CM codes reported as clinical diagnoses at inpatient and outpatient encounters (Supplementary Table 1). Inpatient encounters included, but were not limited to, hospitals and skilled nursing facilities, and outpatient encounters included, but were not limited to, doctor’s offices, emergency rooms, and urgent care centers. Clinical diagnosis of pertussis has a low sensitivity (30.2%) and high specificity (96.3%); therefore, we assessed infant ARIs to capture possible cases [12]. Infant ARI in the first 2 months of life was dichotomized in analyses as any diagnoses versus none.
"For the following analysis, the study population was limited to singleton births (n = 1391 infants were excluded)."</t>
  </si>
  <si>
    <t>first 2 months of infant life</t>
  </si>
  <si>
    <t>"This work was funded by the DHA-IHB [Proposal ID: #60]."</t>
  </si>
  <si>
    <t>99,434 singleton live births to active duty mothers</t>
  </si>
  <si>
    <t>0–13 weeks: 944
14–26 weeks: 561
27–36 weeks: 3295 
&gt;36 weeks: 926</t>
  </si>
  <si>
    <r>
      <rPr>
        <b/>
        <sz val="10"/>
        <color theme="1"/>
        <rFont val="Arial"/>
        <family val="2"/>
      </rPr>
      <t xml:space="preserve">Total: 5726
</t>
    </r>
    <r>
      <rPr>
        <sz val="10"/>
        <color theme="1"/>
        <rFont val="Arial"/>
        <family val="2"/>
      </rPr>
      <t xml:space="preserve">
0–13 Weeks: 944 
14–26 Weeks: 561
27–36 Weeks: 3295
&gt;36 Weeks: 926</t>
    </r>
  </si>
  <si>
    <t>0–13 weeks: 16.5%
14–26 weeks: 9.8%
27–36 weeks: 57.5% 
&gt;36 weeks: 16.2%</t>
  </si>
  <si>
    <t>was defined as the receipt of Tdap vaccine between LMP and delivery date, and identified in immunization data by the vaccine administered code (CVX) 115.</t>
  </si>
  <si>
    <t>0–13 Weeks
14–26 Weeks
27–36 Weeks
&gt;36 Weeks</t>
  </si>
  <si>
    <t>influenza: 2460
no influenza: 3266</t>
  </si>
  <si>
    <t>infants of mother without Tdap exposure during pregnancy</t>
  </si>
  <si>
    <t>influenza: 43513
no influenza: 50,195</t>
  </si>
  <si>
    <t>Hall 2025</t>
  </si>
  <si>
    <t>Department of Defense Birth and Infant Health Research (BIHR) program; Defense Manpower Data Center (DMDC) immunization records; Military Health System (MHS) Data Repository; IRB protocol NHRC.1999.0003</t>
  </si>
  <si>
    <t>2013-2018</t>
  </si>
  <si>
    <t>PPP Conditions (Chorioamnionitis)</t>
  </si>
  <si>
    <r>
      <rPr>
        <b/>
        <sz val="10"/>
        <color theme="1"/>
        <rFont val="Arial"/>
        <family val="2"/>
      </rPr>
      <t>Inclusion</t>
    </r>
    <r>
      <rPr>
        <sz val="10"/>
        <color theme="1"/>
        <rFont val="Arial"/>
        <family val="2"/>
      </rPr>
      <t xml:space="preserve">: "live deliveries among US active duty service members at two southern California military hospitals" 
"Only deliveries captured in BIHR data were included"
</t>
    </r>
    <r>
      <rPr>
        <b/>
        <sz val="10"/>
        <color theme="1"/>
        <rFont val="Arial"/>
        <family val="2"/>
      </rPr>
      <t>Exclusion</t>
    </r>
    <r>
      <rPr>
        <sz val="10"/>
        <color theme="1"/>
        <rFont val="Arial"/>
        <family val="2"/>
      </rPr>
      <t>: "deliveries were excluded if the service member was not on active duty status throughout pregnancy" .  Also excluded if "electronic records associated with their delivery hospitalization were unavailable, if estimated gestational age (EGA) at delivery was &lt; 22 weeks, or if &gt; 1 Tdap or influenza vaccine was recorded during pregnancy"</t>
    </r>
  </si>
  <si>
    <t>Naval Health Research
Center Institutional Review Board (protocol number NHRC.1999.0003)</t>
  </si>
  <si>
    <t>"This work was supported by the Defense Health Agency
Immunization Healthcare Division (proposal ID: IHB-20-005)."
JF: NR</t>
  </si>
  <si>
    <t>1650 deliveries (305 cases, 1,345 controls)
"After exclusions, 1650 deliveries among 1604 unique service members remained for analysis, of which 305 were clinical chorioamnionitis cases and 1345 were controls"</t>
  </si>
  <si>
    <t>mean 25.6*</t>
  </si>
  <si>
    <t>Group B streptococcus
UTI
Bacterial vaginosis
Chlamydia
Candida</t>
  </si>
  <si>
    <t>507 &gt;= 1 prior pregnancy (parity - table 2)</t>
  </si>
  <si>
    <t xml:space="preserve">27-36w GA: 1251*
Any time during pregnancy: 1354*
</t>
  </si>
  <si>
    <t>Tdap vaccine receipt at any time during pregnancy</t>
  </si>
  <si>
    <t>Table 3: Yes, Tdap and influenza vaccine: 164 cases + 709 controls
Tdap + flu: 873</t>
  </si>
  <si>
    <t>Table 3: Yes, only influenza vaccine: 24 cases + 139 controls
Influenza only: 163</t>
  </si>
  <si>
    <t>Hall 2020</t>
  </si>
  <si>
    <t>Department of Defense Birth and Infant Health Research (BIHR) program; Defense Manpower Data Center (DMDC) immunization records; Military Health System (MHS) Data Repository; IRB protocol NHRC.2013.0015</t>
  </si>
  <si>
    <t>2006-2014</t>
  </si>
  <si>
    <t>PPP Conditions (preeclampsia, preterm labor, and spontaneous abortion. Infant: low birth weight (LBW; birth weight under 2500 g), preterm birth (birth before 37 weeks’ gestation), growth problems in utero, growth problems in infancy, and major birth defects.)</t>
  </si>
  <si>
    <r>
      <rPr>
        <b/>
        <sz val="10"/>
        <color theme="1"/>
        <rFont val="Arial"/>
        <family val="2"/>
      </rPr>
      <t>Inclusion</t>
    </r>
    <r>
      <rPr>
        <sz val="10"/>
        <color theme="1"/>
        <rFont val="Arial"/>
        <family val="2"/>
      </rPr>
      <t>: "pregnancies from 2006 to 2014 among military women who were on active duty status for the duration of their pregnancy" (Page 2). Exclusion: "Pregnancies for which outcomes could not be ascertained were excluded from analyses ('unknown outcomes'), as were ectopic and molar pregnancies, pregnancies ending in elective abortions, pregnancies in which women received more than one Tdap vaccine, and multiple gestations" (Page 2). "Same-sex multiples are excluded from BIHR data" (Page 2).</t>
    </r>
  </si>
  <si>
    <t xml:space="preserve">1 year
"through an infant's first year of life"
</t>
  </si>
  <si>
    <t>Naval Health Research Center (protocol number NHRC.2013.0015)</t>
  </si>
  <si>
    <r>
      <rPr>
        <sz val="10"/>
        <color theme="1"/>
        <rFont val="Arial"/>
        <family val="2"/>
      </rPr>
      <t xml:space="preserve">"Report No. 19-74 was </t>
    </r>
    <r>
      <rPr>
        <b/>
        <sz val="10"/>
        <color rgb="FF0000FF"/>
        <rFont val="Arial"/>
        <family val="2"/>
      </rPr>
      <t>supported by</t>
    </r>
    <r>
      <rPr>
        <sz val="10"/>
        <color theme="1"/>
        <rFont val="Arial"/>
        <family val="2"/>
      </rPr>
      <t xml:space="preserve"> the U.S. Navy Bureau of Medicine and Surgery under work unit no. 60504 and the Defense Health Agency Immunization Healthcare Division (proposal ID#42)"
</t>
    </r>
  </si>
  <si>
    <t>145,883 pregnant women (pregnancy outcomes); 117,724 maternal-infant pairs (infant outcomes)</t>
  </si>
  <si>
    <t>1272 in first trimester
9438 27-36w</t>
  </si>
  <si>
    <t>NR
"We also lacked information on some potential confounders, such as maternal smoking and alcohol use during pregnancy"</t>
  </si>
  <si>
    <t>NR (for combined group)</t>
  </si>
  <si>
    <t>0-13w GA: 1272
27-36w GA: 9438</t>
  </si>
  <si>
    <r>
      <rPr>
        <sz val="10"/>
        <color theme="1"/>
        <rFont val="Arial"/>
        <family val="2"/>
      </rPr>
      <t xml:space="preserve">NR (for combined group)
</t>
    </r>
    <r>
      <rPr>
        <b/>
        <sz val="10"/>
        <color theme="1"/>
        <rFont val="Arial"/>
        <family val="2"/>
      </rPr>
      <t>1272 vaccinated between 0–13 weeks’ gestation group</t>
    </r>
    <r>
      <rPr>
        <sz val="10"/>
        <color theme="1"/>
        <rFont val="Arial"/>
        <family val="2"/>
      </rPr>
      <t>:
First Trimester of PC: 
121921
Estimated GA at start of pregnancy care:
55.3d ± 26.5 (SD)</t>
    </r>
  </si>
  <si>
    <t>Tdap vaccination during 1st or 2nd trimesters</t>
  </si>
  <si>
    <t>Some women received "vaccines not routinely recommended in pregnancy"</t>
  </si>
  <si>
    <t xml:space="preserve">First Trimester of PC: 
10027
</t>
  </si>
  <si>
    <t>"Women who did not receive the Tdap vaccine during pregnancy"</t>
  </si>
  <si>
    <t>"Receipt of vaccines not routinely recommended in pregnancy": 16064</t>
  </si>
  <si>
    <t>#507</t>
  </si>
  <si>
    <t>Bosch 2017</t>
  </si>
  <si>
    <t>Hospital Universitario Austral</t>
  </si>
  <si>
    <t>08/2011 - 05/2014</t>
  </si>
  <si>
    <t>PPP Conditions (gestational hypertension, gestational diabetes), Birthweight</t>
  </si>
  <si>
    <r>
      <rPr>
        <b/>
        <sz val="10"/>
        <color theme="1"/>
        <rFont val="Arial"/>
        <family val="2"/>
      </rPr>
      <t>Inclusion</t>
    </r>
    <r>
      <rPr>
        <sz val="10"/>
        <color theme="1"/>
        <rFont val="Arial"/>
        <family val="2"/>
      </rPr>
      <t xml:space="preserve">: Pregnant women older than 18 years old, who had given their written informed consent, had a blood sample collected during their last trimester prenatal checkup at the hospital and would have birth at this facility were included. Vigorous newborn infants who had a cord blood sample collected large enough to measure the presence of anti-pertussis toxin antibodies were included."
</t>
    </r>
    <r>
      <rPr>
        <b/>
        <sz val="10"/>
        <color theme="1"/>
        <rFont val="Arial"/>
        <family val="2"/>
      </rPr>
      <t>Exclusion</t>
    </r>
    <r>
      <rPr>
        <sz val="10"/>
        <color theme="1"/>
        <rFont val="Arial"/>
        <family val="2"/>
      </rPr>
      <t>: "Newborn infants whose Apgar score indicated they were not vigorous or whose status prevented sample collection were excluded, as well as mothers with a twin pregnancy, who were not able to give their consent, who were younger than 18 years old at the time of consent signature, and who had not had a blood sample collected during their last trimester prenatal checkup. Mothers who were not followed-up at the hospital or who gave birth at a different facility were excluded from the analysis."</t>
    </r>
  </si>
  <si>
    <t>mean 29.9y*</t>
  </si>
  <si>
    <t>mean 39.2w *</t>
  </si>
  <si>
    <t>&gt;5 antenatal care visits: 90%
&gt;3 antenatal care visits: 10%</t>
  </si>
  <si>
    <t>29.9y</t>
  </si>
  <si>
    <t>**Gestational hypertension 5%
hypothyroidism 9.6%
Gestational diabetes 11.53%
Antiphospholipid syndrome 5.70%
UTI 5.10%
Cholestasis 1.70%</t>
  </si>
  <si>
    <t>Smoking 6.3%</t>
  </si>
  <si>
    <t>30y</t>
  </si>
  <si>
    <t>**Gestational hypertension 5%
hypothyroidism 9.00%
Gestational diabetes 10.9%
Antiphospholipid syndrome 5.9%
UTI 5.1%
Cholestasis 0.0%</t>
  </si>
  <si>
    <t>Greenberg 2023</t>
  </si>
  <si>
    <t>Adacel (Sanofi Pasteur) - 87% of vaccinated; Boostrix (GSK) - 11% of vaccinated; 2% unknown</t>
  </si>
  <si>
    <t>8 Vaccine Safety Datalink (VSD) sites: Kaiser Permanente Washington, Northwest, Northern California, Southern California, Colorado; HealthPartners; Marshfield Clinic; Denver Health; electronic health records; claims data; state/local immunization registries</t>
  </si>
  <si>
    <t xml:space="preserve">Live births from 10/2016 - 09/2018
Pregnancy start dates from 04/2016 - 12/2017 </t>
  </si>
  <si>
    <t>Chorioamnionitis, Preterm birth, Apgar score, Transient tachypnea of newborn, Neonatal sepsis, Pneumonia, Respiratory distress syndrome, Convulsions in newborn</t>
  </si>
  <si>
    <t>The study population included pregnant people aged 15–49 years with singleton pregnancies ending in a live birth. 
We included pregnant people with singleton live births and a pregnancy start date during April 14, 2016 to December 24, 2017 who were continuously insured from 6 months prior to their last menstrual period through 6 weeks postpartum and had at least one outpatient visit in a VSD health care system during pregnancy. For analysis of infant outcomes infants were required to have enrollment starting at birth hospitalization and followed through the first month of life.</t>
  </si>
  <si>
    <t>Infant's first month of life</t>
  </si>
  <si>
    <t>118,211 mother-infant pairs
109,180 pregnancies linked to a liveborn singleton infant (infant outcomes cohort)</t>
  </si>
  <si>
    <t>Age at delivery, years
&lt;18: 467
18–24: 12,432
25–34: 61,880
&gt;=35: 28,475</t>
  </si>
  <si>
    <t>Pre-gestational diabetes mellitus: 2,148
Chronic hypertension: 5955
BMI  &gt;=30: 26106
Gestational diabetes mellitus: 12131
Hypertensive disorders of pregnancy (Includes gestational hypertension and preeclampsia): 17079</t>
  </si>
  <si>
    <t>Smoking: 15,875</t>
  </si>
  <si>
    <t>Prenatal Care Index
Adequate/plus: 73495
Intermediate: 27109
Inadequate: 2650</t>
  </si>
  <si>
    <t>Tdap vaccine administration during pregnancy
Tdap vaccination information was captured at VSD sites through EHR, claims data, and bidirectional linkages with state and local immunization registries</t>
  </si>
  <si>
    <t>Age at delivery, years
&lt;18: 72
18–24: 2,253
25–34: 8,605
&gt;=35: 4,027</t>
  </si>
  <si>
    <r>
      <rPr>
        <sz val="10"/>
        <color theme="1"/>
        <rFont val="Arial"/>
        <family val="2"/>
      </rPr>
      <t xml:space="preserve">Pre-gestational diabetes mellitus: 309
Chronic hypertension: 926
BMI  &gt;=30: </t>
    </r>
    <r>
      <rPr>
        <sz val="10"/>
        <color rgb="FFFF0000"/>
        <rFont val="Arial"/>
        <family val="2"/>
      </rPr>
      <t xml:space="preserve">38633 </t>
    </r>
    <r>
      <rPr>
        <sz val="10"/>
        <color theme="1"/>
        <rFont val="Arial"/>
        <family val="2"/>
      </rPr>
      <t>(higher than group size, doesn't make sense)
Gestational diabetes mellitus: 1628
Hypertensive disorders of pregnancy (Includes gestational hypertension and preeclampsia): 2406</t>
    </r>
  </si>
  <si>
    <t>Smoking: 2,727</t>
  </si>
  <si>
    <t>Prenatal Care Index
Adequate/plus: 9754
Intermediate: 3754
Inadequate: 1449</t>
  </si>
  <si>
    <t>No Tdap vaccine administration during pregnancy
Tdap vaccination information was captured at VSD sites through EHR, claims data, and bidirectional linkages with state and local immunization registries</t>
  </si>
  <si>
    <t>Hsiao 2025</t>
  </si>
  <si>
    <t>NR
Tdap5 (contains 5 pertussis components; Adacel, Sanofi)</t>
  </si>
  <si>
    <t>Kaiser Permanente Northern California (KPNC)</t>
  </si>
  <si>
    <t>2010-2019</t>
  </si>
  <si>
    <t>Vaccine effectiveness of maternal Tdap5 against PCR-confirmed infant pertussis in first 2 months of life 
Vaccine effectiveness of maternal Tdap5 against PCR-confirmed infant pertussis in first 12 months of life 
Vaccine effectiveness by timing of maternal vaccination: 27–36 weeks vs. outside ACIP-recommended window
Vaccine effectiveness at 0, 1, 2, and 3 infant DTaP doses
DTaP vaccine effectiveness by dose (first, second, third) controlling for maternal Tdap5 status</t>
  </si>
  <si>
    <r>
      <rPr>
        <b/>
        <sz val="10"/>
        <color theme="1"/>
        <rFont val="Arial"/>
        <family val="2"/>
      </rPr>
      <t>INCLUDE</t>
    </r>
    <r>
      <rPr>
        <sz val="10"/>
        <color theme="1"/>
        <rFont val="Arial"/>
        <family val="2"/>
      </rPr>
      <t xml:space="preserve">: To be eligible, infants had to be born full-term (≥37 weeks of gestation) and enrolled as a KPNC member. We limited the study population to infants whose mothers were enrolled at KPNC from pregnancy onset through the duration of their pregnancy. 
</t>
    </r>
    <r>
      <rPr>
        <b/>
        <sz val="10"/>
        <color theme="1"/>
        <rFont val="Arial"/>
        <family val="2"/>
      </rPr>
      <t>EXCLUDE</t>
    </r>
    <r>
      <rPr>
        <sz val="10"/>
        <color theme="1"/>
        <rFont val="Arial"/>
        <family val="2"/>
      </rPr>
      <t>: Infants were excluded if their mother was vaccinated with a non-Tdap5 acellular pertussis vaccine (ie, Tdap3 or unknown Tdap product) from 2 years before pregnancy through the infants' first year of life.</t>
    </r>
  </si>
  <si>
    <t xml:space="preserve">Follow-up for the study population started on the day of birth and continued until the infant tested positive for pertussis, reached 2 or 12 months of age (depending on the analysis), or the end of the study period (March 31, 2020), whichever came first. For the 12-month follow-up period, follow-up ended when the infant or mother disenrolled from the health plan. </t>
  </si>
  <si>
    <t>N.P.K. received research grant from the Sanofi for the study conduct. N.P.K. reported receiving research support from GlaxoSmithKline, Merck, Pfizer, Seqirus, Moderna, AstraZeneca, Janssen, and the US Centers for Disease and Control outside of the submitted work. O.Z. reports receiving research support from Pfizer and Moderna outside the submitted work. D.M. is employed by Sanofi and holds shares in the Sanofi group of companies as part of his employee remuneration. A.H., J.B., B.F., and J.H. report no conflict of interest.
This study was funded by Sanofi.</t>
  </si>
  <si>
    <t>263809 infants</t>
  </si>
  <si>
    <t>&lt;1996: 260,609 (98.8%); 
≥1996: 3,197 (1.2%); 
missing: 3 (0.0%)</t>
  </si>
  <si>
    <t>parity 0: 112,413 (42.6%); 
parity 1: 94,093 (35.7%); 
parity &gt;1: 51,657 (19.6%); 
missing: 5,646 (2.1%)</t>
  </si>
  <si>
    <t>Tdap 14+</t>
  </si>
  <si>
    <t>&lt;1996: 168,051 (98.4%); 
≥1996: 2,746 (1.6%); 
missing: 2 (0.0%)</t>
  </si>
  <si>
    <t>Parity 0: 77,882 (45.6%); 
parity 1: 60,372 (35.3%); 
parity &gt;1: 30,882 (18.1%); 
missing: 1,663 (1.0%).</t>
  </si>
  <si>
    <t>Mothers received Tdap vaccination at any point between first visit and 2w prior to giving birth.</t>
  </si>
  <si>
    <t>Tdap 1-13</t>
  </si>
  <si>
    <t>&lt;1996: 4655 (98.9)
≥1996: 51 (1.1)
missing: 0 (0.0%)</t>
  </si>
  <si>
    <t>Parity 0: 1841 (39.1)
parity 1: 1686 (35.8)
parity &gt;1: 1102 (23.4)
missing: 77 (1.6)</t>
  </si>
  <si>
    <t>Mothers received Tdap vaccination at any point within 2w of birth.</t>
  </si>
  <si>
    <t>1996: 87,903 (99.5%); 
≥1996: 400 (0.5%); 
missing: 1 (0.0%)</t>
  </si>
  <si>
    <t>Parity 0: 32,690 (37.0%); 
parity 1: 32,035 (36.3%); 
parity &gt;1: 19,673 (22.3%); 
missing: 3,906 (4.4%).</t>
  </si>
  <si>
    <t>Haidara 2024</t>
  </si>
  <si>
    <t>Other (describe in notes)</t>
  </si>
  <si>
    <t>Boostrix (GSK), Td (Biological E. Limited)</t>
  </si>
  <si>
    <t>NCT03589768
Centre pour le Développement des Vaccins – Mali, Bamako</t>
  </si>
  <si>
    <t>01/2019-07/2019</t>
  </si>
  <si>
    <t>IgG (PT, FHA, PRN, FIM, TT, DT) (cord blood, maternal serum) (pre-vax, 1 month post, delivery, 6mo post)</t>
  </si>
  <si>
    <t>Spontaneous abortion
Stillbirth (4 in Tdap group, 1 in Td group)
Eclampsia (1 maternal death in Tdap group)
Premature delivery
Infant deaths (congenital anomaly/pneumonia; neonatal anoxia; prematurity — Tdap group; acute respiratory infection/prematurity — Td group)
Congenital, familial and genetic disorders (infant unsolicited AEs, Table 2)
Pregnancy, puerperium and perinatal conditions (maternal and infant unsolicited AEs, Table 2)
Infections and infestations (infant unsolicited AEs, Table 2)
Gastrointestinal disorders (infant unsolicited AEs, Table 2)
Nervous system disorders (infant unsolicited AEs, Table 2)
Respiratory, thoracic and mediastinal disorders (infant unsolicited AEs, Table 2)
Metabolism and nutrition disorders (infant unsolicited AEs, Table 2)
Skin and subcutaneous tissue disorders (infant unsolicited AEs, Table 2)
General disorders and administration site conditions (solicited local and systemic reactogenicity within 7 days)
Serious adverse events in maternal participants (overall count and by SOC, Table 2)
Serious adverse events in infant participants (overall count and by SOC, Table 2)</t>
  </si>
  <si>
    <t>ML</t>
  </si>
  <si>
    <t>"Eligible women were healthy and aged 18–39 years, pregnant with a singleton foetus with estimated gestational age 14 0/7 through 26 6/7 weeks and willing and able to provide consent. Exclusion criteria included: 1. History of illness that could pose additional risk to the women or the foetus; 2. Infection requiring systemic treatment within seven days prior to study vaccination; 3. History of serious medical event following previous immunisations or history of progressive neurologic disorder; 4. Known or suspected disease that impairs the immune system; 5. History of severe allergic reaction after a previous dose of any vaccine directed against tetanus, diphtheria or pertussis; and 6. High risk for serious obstetrical complication, among others. Acute illness with or without fever was a temporary exclusion criterion." (Main text)  7. Known or suspected disease that impairs the immune system including known or suspected HIV infection or HIV-related disease. 8. Receipt of immunosuppressive therapy. 9. Known hepatitis B or hepatitis C infection, by history or medical record. 10. Behavioral or cognitive impairment or psychiatric disease 10 that, in the opinion of the investigator, may interfere with the subject’s ability to participate in the trial.
11. Have a history of alcohol or drug abuse within 5 years prior to study vaccination.11 
12. Known hypersensitivity or allergy to any component of the study vaccine (formaldehyde, alum).
13. History of severe allergic reaction (e.g., anaphylaxis) after a previous dose of BOOSTRIX or any other vaccine directed against tetanus, diphtheria, or pertussis.
14. Receipt or planned receipt of any live licensed vaccine within 30 days before or after vaccination or any inactivated licensed vaccine within 14 days before or after vaccination.
15. Receipt of immunoglobulin (except RhoGAM, which is allowed) or other blood products within 90 days prior to study vaccination.
16. Receipt of an experimental agent or device within 30 days prior to vaccination, or the expected receipt of an experimental agent 12 (other than BOOSTRIX) during this trialreporting period.
17. High risk for serious obstetrical complication (refer to ACOG Practice Bulletins for definitions, as necessary).13 
18. Pregnant with a fetus with a known or suspected major congenital 14 anomaly or genetic abnormality.
19. Study personnel or immediate family members (brother, sister, child, parent) or the spouse of study personnel."(Supplement additions)</t>
  </si>
  <si>
    <t>"After vaccination, participants were observed for 30 min. Subsequent visits occurred at day 4 (at home), day 8 (at home), and day 31 after vaccination, at delivery, and six weeks, 10 or 18 weeks (per the assignment described above), and six months after delivery"</t>
  </si>
  <si>
    <t>NCT03589768</t>
  </si>
  <si>
    <t>National Institute of Allergy and Infectious Diseases (NIAID), National Institutes of Health (NIH), under contract numbers 75N93021C00012 (The Emmes Company), and HHSN27220130000221 (University of Maryland, Baltimore). Dr. Susana Portillo was supported by NIH award no. T32AI007524. NIAID, NIH provided Tdap vaccine (BOOSTRIX).</t>
  </si>
  <si>
    <t xml:space="preserve">201 pregnant women </t>
  </si>
  <si>
    <t>Excluded known or suspected disease that impairs the immune system and women at high risk for serious obstetrical complication</t>
  </si>
  <si>
    <t xml:space="preserve">Attempted to exclude women with history of alcohol or substance abuse in preceding 5y.
</t>
  </si>
  <si>
    <t>median 25y (9 IQR)</t>
  </si>
  <si>
    <t>median 18.6w (6.7 IQR)</t>
  </si>
  <si>
    <t>0 Alcohol 
0 Substance</t>
  </si>
  <si>
    <t>Tdap vaccination with Boostrix</t>
  </si>
  <si>
    <t>14-26wk estimated gestational age</t>
  </si>
  <si>
    <t>Td</t>
  </si>
  <si>
    <t>median 25y (8 IQR)</t>
  </si>
  <si>
    <t>median 17.6w (7.4 IQR)</t>
  </si>
  <si>
    <t>Td vaccination with Biological E. Limited</t>
  </si>
  <si>
    <t>Nakabembe 2025</t>
  </si>
  <si>
    <t>NRS - single arm</t>
  </si>
  <si>
    <t>NCT04589312; Kawempe National Referral Hospital and Kisenyi Health centre IV,</t>
  </si>
  <si>
    <t>10/2020-05/2021</t>
  </si>
  <si>
    <t>Stillbirth death, cardiac disorder, nervous system, digestive, immune, musculoskeletal, repdroductive, respiratory, urogenital, infection</t>
  </si>
  <si>
    <t>Uganda</t>
  </si>
  <si>
    <t>The eligibility criteria were pregnant women aged 18 years or older, between 16 weeks and 26 weeks of gestation, with a singleton pregnancy, considered to be at low risk following obstetric ultrasound and on the basis of their medical history and clinical assessment. Participants’ HIV status was documented following a rapid test at the screening visit and confirmatory testing at a reference laboratory with CD4 count and viral load. Participants were included if they planned to give birth at one of the two sites, remained in the area until the infant was 12 months old, and provided written informed consent for herself and the infant. The full eligibility criteria have been included in the published protocol.</t>
  </si>
  <si>
    <t>12 months</t>
  </si>
  <si>
    <t>NCT04589312</t>
  </si>
  <si>
    <t>Medical Research Council Joint Clinical Trials, Canadian Institutes of Health Research, and British Columbia Children's Hospital Research Institute.</t>
  </si>
  <si>
    <t>mean 25 yrs (SD 5)
range: 18-41</t>
  </si>
  <si>
    <t>@1st vaccination: mean 21 (SD 2)
@ 2nd vaccination: mean 25 (SD 2)</t>
  </si>
  <si>
    <t>HIV: 81</t>
  </si>
  <si>
    <t>Tdap- HIV+</t>
  </si>
  <si>
    <t>mean 28 yrs (SD 5)</t>
  </si>
  <si>
    <t>@1st vaccination: mean 20 (SD 2)
@ 2nd vaccination: mean 25 (SD 2)</t>
  </si>
  <si>
    <t>BMI at enrolment: mean 26.4 (SD 4.4)
Option B+ First Line-TDF+3TC+EFV600mg (tenofovir, lamivudine, and efavirenz): 6 (15.0%)
TDF 3TC DTG (tenofovir with ritonavir, lamivudine, and dolutegravir): 33 (82.5%)
Other combination ABC with 3TC with DTG (abacavirwith ritonavir,
lamivudine, and dolutegravir): 1 (2.5%)</t>
  </si>
  <si>
    <t>one dose of Td followed by one dose of TdaP (HIV+ mothers)</t>
  </si>
  <si>
    <t>Td as their first vaccination between 16+ 0 weeks and 25+6 weeks
second vaccination (either Td or TdaP) between 20+0 weeks and 29+6 weeks</t>
  </si>
  <si>
    <t>Tdap- HIV-</t>
  </si>
  <si>
    <t xml:space="preserve">mean 22 yrs (SD 4)
</t>
  </si>
  <si>
    <t>BMI at enrolment: mean 25.1 (SD 4.2)
HIV: 0 (0%)</t>
  </si>
  <si>
    <t>one dose of Td followed by one dose of TdaP (HIV- mothers)</t>
  </si>
  <si>
    <t>Td- HIV+</t>
  </si>
  <si>
    <t xml:space="preserve">mean 25 yrs (SD 4)
</t>
  </si>
  <si>
    <t>@1st vaccination: mean 21 (SD 3)
@ 2nd vaccination: mean 25 (SD 3)</t>
  </si>
  <si>
    <t>BMI at enrolment: mean 24.8 (SD 3.3)
Option B+ First Line-TDF+3TC+EFV600mg (tenofovir, lamivudine, and efavirenz): 6 (14.6%)
TDF 3TC DTG (tenofovir with ritonavir, lamivudine, and dolutegravir): 33 (85.4%)
Other combination ABC with 3TC with DTG (abacavirwith ritonavir,
lamivudine, and dolutegravir): 0</t>
  </si>
  <si>
    <t>2 doses of Td (HIV+ mothers)</t>
  </si>
  <si>
    <t>Td- HIV-</t>
  </si>
  <si>
    <t>mean 24 yrs (SD 4)</t>
  </si>
  <si>
    <t>BMI at enrolment: mean 24.6 (SD 3.1)
HIV: 0 (0%)</t>
  </si>
  <si>
    <t>2 doses of Td (HIV- mothers)</t>
  </si>
  <si>
    <t>Jones 2021</t>
  </si>
  <si>
    <t>REPEVAX-IPV &amp; BOOSTRIX-IPV</t>
  </si>
  <si>
    <t xml:space="preserve">St George’s University Hospitals NHS Foundation Trust, or in primary care sites in Gloucestershire and Hertfordshire; </t>
  </si>
  <si>
    <t>10/2014-06/2017</t>
  </si>
  <si>
    <t xml:space="preserve">Serious adverse events in women 
Serious adverse events in infants </t>
  </si>
  <si>
    <t>UK</t>
  </si>
  <si>
    <t>Pregnant women, aged 16–45 years at enrolment, receiving antenatal care at St George’s University Hospitals NHS Foundation Trust, or in primary care sites in Gloucestershire and Hertfordshire, were eligible to participate. Exclusion criteria included a bleeding disorder, receipt of a pertussis-containing vaccine in the previous 12 months, receipt of a blood product within the preceding 3 months and any contraindication to vaccination specified in the “Green Book” Immunisation against Infectious Disease [9]. Infants born to women who had not received a pertussis-containing vaccine in the previous
12 months were excluded if there was any contraindication to vaccination specified in the “Green Book” Immunisation against Infectious Disease [9]. Infants were included irrespective of gestational age at birth.</t>
  </si>
  <si>
    <t>2, 5, and 13mo</t>
  </si>
  <si>
    <t>NCT02145624</t>
  </si>
  <si>
    <t>NIHR Policy Research Programme grant 039/0031</t>
  </si>
  <si>
    <t>154 pregnant women</t>
  </si>
  <si>
    <t>median 34y (20-42 range)</t>
  </si>
  <si>
    <t>median 29 (38-34 range)</t>
  </si>
  <si>
    <t>Women randomzed for Tdap3 (vs excluded Tdap5/Repevax vs unvaccinated) vaccinated between 28-32w GA</t>
  </si>
  <si>
    <t>IPV</t>
  </si>
  <si>
    <t>median 31 (20-47 range)</t>
  </si>
  <si>
    <t>Berenson 2016</t>
  </si>
  <si>
    <t>University of Texas Medical Branch at Galveston (UTMB) electronic medical records (EMRs)</t>
  </si>
  <si>
    <t>11/2012 - 06/2014</t>
  </si>
  <si>
    <t>PPP Conditions (Chorioamnionitis, preterm delivery, low birth weight, small for gestational age, apgar score)
Blood and lymphatic system disorders 
Respiratory, thoracic and mediastinal disorders, hepatobiliray disorder (jaundice), 
Cardiac disorders
SAEs (Birth defects)</t>
  </si>
  <si>
    <t>Women with &lt; 4 clinic visits during pregnancy
Delivery &lt; 27 weeks gestation</t>
  </si>
  <si>
    <t>K12HD052023: BIRCWH (National Institute of Allergy and Infectious Diseases, NIH)</t>
  </si>
  <si>
    <t>mean 30.3 wk (SD 4.6)</t>
  </si>
  <si>
    <t>26.8y (5.9SD)</t>
  </si>
  <si>
    <t>30.3wk (4.6 SD, 1-40wk range) total</t>
  </si>
  <si>
    <t>Gravidity, n (%)
1: 335 (30.2)
2 or more: 774 (69.8)
Prior full-term deliveries, n (%)
0: 476 (43.2)
1 or more: 627 (56.8)
Prior premature deliveries, n (%)
0: 1004 (91.0)
1 or more: 99 (9.0)
Prior spontaneous abortions, n (%)
0: 828 (74.8)
1 or more: 279 (25.2)
Prior ectopic pregnancies, n (%)
0: 1089 (98.4)
1 or more: 18 (1.6)</t>
  </si>
  <si>
    <t>Prenatal visits during pregnancy, mean 11.9 (SD 3.8)
Timing of first prenatal visit, n (%)
Before 12 weeks gestation: 705 (63.6)
During or after 12 weeks gestation: 404 (36.4)</t>
  </si>
  <si>
    <t>Women who received the Tdap vaccine anytime during their pregnancy.</t>
  </si>
  <si>
    <t>Flu (714)
HepA (1)
HepB (3)
Meningococcal (1)
Pneumococcal (1)</t>
  </si>
  <si>
    <t>27.5y (6.4 SD)</t>
  </si>
  <si>
    <t>Gravidity, n (%)
1: 180 (27.7)
2 or more: 470 (72.3)
Prior full-term deliveries, n (%)
0: 270 (41.7)
1 or more: 377 (58.3)
Prior premature deliveries, n (%)
0: 573 (88.6)
1 or more: 74 (11.4)
Prior spontaneous abortions, n (%)
0: 466 (71.9)
1 or more: 182 (28.1)
Prior ectopic pregnancies, n (%)
0: 635 (98.2)
1 or more: 12 (1.8)</t>
  </si>
  <si>
    <t>Prenatal visits during pregnancy, mean 11.2 (SD 4.2)
Timing of rst prenatal visit, n (%)
Before 12 weeks gestation: 391 (60.2)
During or after 12 weeks gestation: 259 (39.8)</t>
  </si>
  <si>
    <t>No Tdap vaccination during pregnancy.</t>
  </si>
  <si>
    <t xml:space="preserve">Flu (233)
HepA (1)
HepB (0)
Meningococcal (2)
Pneumococcal (0)
</t>
  </si>
  <si>
    <t>Petousis-Harris 2016</t>
  </si>
  <si>
    <t>2 areas of New Zealand: 
Northern arm (Auckland and other North Island centres- 21 general practices and the maternity clinics of three district health boards (DHBs) and referrals)
- vax given @ 28-38wks
Canterbury arm (South Island region): "via claims submitted by general practices (within 1 week of vaccination) for reimbursement from the local DHB"
- vax given @ 30-36 wks</t>
  </si>
  <si>
    <t>09/2012 - 06/2014*</t>
  </si>
  <si>
    <t xml:space="preserve">PPP Conditions (Preterm labour, Pre-eclampsia, Gestational diabetes, hypertension in pregnancy, vaginal bleeding, bacterial vaginitis, threatened labour and group A strep infection, bleeding, Maternal tachycardia, antenatal partum haemorrhage,  Exacerbation of pre-existing condition, Cyanotic episodes in infant, Non-reassuring fetal status)
General disorders and administration site conditions
Musculoskeletal and connective tissue disorders
Nervous system disorders, Infections and infestations, SAE (Perinatal death (stillbirth), fetal death, PV bleeding) </t>
  </si>
  <si>
    <t>NZ</t>
  </si>
  <si>
    <t>4w</t>
  </si>
  <si>
    <t>The Northern study was funded by GlaxoSmithKline Biologicals SA, the manufacturer of Boostrix and sponsored by Auckland UniServices Ltd. The Southern study was funded by the Canterbury District Health Board.</t>
  </si>
  <si>
    <t>793 pregnant women</t>
  </si>
  <si>
    <t>mean 32y</t>
  </si>
  <si>
    <t xml:space="preserve">Asthma 24
Atopy 4
Cancer 2
Cardiovascular 12
Chronic renal disease 1
Chronic respiratory disease 1
Diabetes 29
Other 52
Pregnancy related conditions 16
</t>
  </si>
  <si>
    <t>Nr</t>
  </si>
  <si>
    <t>Tdap 28-38w / NA</t>
  </si>
  <si>
    <t>28-38w</t>
  </si>
  <si>
    <t>primarily in Auckland and included other North Island centres</t>
  </si>
  <si>
    <t>Influenza (TIV) vaccine</t>
  </si>
  <si>
    <t>Tdap 30-36w / CA</t>
  </si>
  <si>
    <t>30-36w</t>
  </si>
  <si>
    <t>conducted in Canterbury (South Island region)</t>
  </si>
  <si>
    <t>DeSilva 2017</t>
  </si>
  <si>
    <t>7 Vaccine Safety Datalink sites: Northern California, Southern California, Colorado, Minnesota, Oregon, Washington and Wisconsin</t>
  </si>
  <si>
    <t>01/2010 - 11/2013</t>
  </si>
  <si>
    <t>Chorioamnionitis, Transient tachypnea of the newborn, Neonatal sepsis, Neonatal pneumonia, Respiratory distress syndrome, Newborn convulsions, Preterm birth</t>
  </si>
  <si>
    <t>The available data were limited to singleton live births, born January 1, 2010–November 15, 2013, to women continuously insured from 6 months prior to their last menstrual period (LMP) through 6 weeks postpartum, with at least 1 outpatient visit during pregnancy. Infants were required to have birth weight and gestational age available in the EHR or from linked birth certificate data. Diagnoses from each infant’s first inpatient hospital admission, limited to the first 7 days of life (i.e., birth hospitalization or first inpatient hospitalization for infants not born in a traditional hospital setting), were included. If an infant was discharged and readmitted within 3 days of discharge, all diagnoses were included. Tdap administrations were identified from standardized VSD files, based on claims and EHR data, and assigned by gestational week of pregnancy, as previously described [26]. Consistent with our previous studies, women with Tdap administration recorded &lt;8 days after their LMP or 8 days prior to delivery were excluded to account for uncertainty regarding the date of LMP and to avoid misclassification of postpartum vaccinations as occurring during pregnancy [5,27,28]. Women receiving live virus vaccines during pregnancy were also excluded. We focused on 2 Tdap exposure windows: 27–36 weeks gestation (consistent with current ACIP recommendations) and from 8 days after LMP through 8 days prior to birth, referred to as ‘‘any week during pregnancy.”</t>
  </si>
  <si>
    <t>until delivery</t>
  </si>
  <si>
    <t>Funding/Support: The Centers for Disease Control and Prevention. Role of the Funder/Sponsor: CDC participated in the design and conduct of the study and interpretation of the data, and approval of the manuscript.</t>
  </si>
  <si>
    <t>197,564 pregnancies</t>
  </si>
  <si>
    <t>NR(could be calculated from table 1)</t>
  </si>
  <si>
    <t>Diabetes, Hypertension,
Pulmonary disease, Heart disease,
Renal disease</t>
  </si>
  <si>
    <t>Smoking:9.5%</t>
  </si>
  <si>
    <t>NR for total population(can be calculated from table1)</t>
  </si>
  <si>
    <t>Age at delivery, y
&lt;18: 314
18–24: 5,658
25–34: 28,155
&gt;=35: 10,881</t>
  </si>
  <si>
    <t>Diabetes mellitus: 686
Hypertension: 933
Heart disease: 445
Pulmonary disease 6.4%
Renal disease 1.1%</t>
  </si>
  <si>
    <t>Smoking: 4,235</t>
  </si>
  <si>
    <t>Prenatal Care Index
Adequate/plus: 36,178
Intermediate: 7,799
Inadequate: 1,031;
96.3% first trimester care; 
2.2% hospitalized &lt;20 weeks gestation</t>
  </si>
  <si>
    <t>Mothers who received one dose of Tdap during pregnancy</t>
  </si>
  <si>
    <t>Received other vaccine during pregnancy: 28,827
Other vaccines administered during pregnancy included inactivated influenza (96%), hepatitis A or B, human papillomavirus.</t>
  </si>
  <si>
    <t>Age at delivery, y
&lt;18: 1915
18–24: 20,053
25–34: 93,521
&gt;=35: 37,067</t>
  </si>
  <si>
    <t>Diabetes mellitus: 2372
Hypertension: 3616
Heart disease: 1640
Pulmonary disease 6.8%
Renal disease 1.2%</t>
  </si>
  <si>
    <t>Smoking: 14,529</t>
  </si>
  <si>
    <t>Prenatal Care Index
Adequate/plus: 112,167
Intermediate: 34,249
Inadequate: 6,140;
94.8% first trimester care; 
3.4% hospitalized &lt;20 weeks gestation</t>
  </si>
  <si>
    <t>Mothers who did not receive Tdap during pregnancy</t>
  </si>
  <si>
    <t>Received other vaccine during pregnancy: 76,231
Other vaccines administered during pregnancy included inactivated influenza (96%), hepatitis A or B, human papillomavirus.</t>
  </si>
  <si>
    <t>Morabito 2026</t>
  </si>
  <si>
    <t>CeDAP database</t>
  </si>
  <si>
    <t>2018-11/2022</t>
  </si>
  <si>
    <t>Hospitalization (w/ diagnosis of pertussis), Vaccine Efficiency</t>
  </si>
  <si>
    <t>Italy</t>
  </si>
  <si>
    <t>Using the CeDAP database, we identified all live-birth pregnancies between January 1, 2018, and November 30, 2022, among pregnant individuals aged 12 to 55 years at delivery with gestational periods ranging from 22 to 42 weeks, based on the date of the last menstrual period (LMP) ascertained through maternal report or ultrasonography. Pregnancies were excluded if pregnant individuals (1) did not have continuous NHS enrollment from 3 months before the LMP until 1 month after delivery; (2) lacked a hospital admission ICD-9-CM code for delivery; (3) could not be linked to their newborns due to a missing identification code; or (4) had missing sociodemographic information (approximately 0.1% of the total). eTable 1 in Supplement 1 reports the comparison between the characteristics of included dyads and those excluded due to lack of an identification code. With regard to influenza, only deliveries occurring between September 1 and February 28 were included to ensure that infants’ early months of life coincided with the influenza season. Two separate cohorts of mother-infant dyads were identified for influenza and Tdap vaccinations, respectively.</t>
  </si>
  <si>
    <t>followed from birth until the earliest of the following events: 6 months of age, clinical outcome (defined below as hospitalization or ED visits for influenza or pertussis, respectively), emigration, death, or end of the study period (December 31, 2022).</t>
  </si>
  <si>
    <t>This work was supported by PNRR 2022-NAZ-0524—PRIN 2022 under the National Recovery and Resilience Plan, Mission 4, Component 2, Investment 1.1—Call 1409/22: COVID-19 and Acute Respiratory Infections: the Clinical and Epidemiological Changes in the Pediatric Population (the CARICE project); CUP: H53D23007460001.</t>
  </si>
  <si>
    <t>106,896 mother-infant dyads</t>
  </si>
  <si>
    <t>53,448- vaccinated dyads</t>
  </si>
  <si>
    <t>&lt;25 yrs - 2605
25-34 - 29,748
≥ 35 yrs - 21,095</t>
  </si>
  <si>
    <t>&lt;37 wks - 2832
≥ 37 wks - 50,616</t>
  </si>
  <si>
    <t>Chronic diseases 
Yes 1905
No 51543</t>
  </si>
  <si>
    <t>parity
Nulliparous: 28,883
Multiparous: 24,565</t>
  </si>
  <si>
    <t>Infants whose mothers had received the Tdap
vaccine</t>
  </si>
  <si>
    <t>53448- unvaccinated dyads</t>
  </si>
  <si>
    <t>&lt;25 yrs - 4124
25-34 - 28,273
≥ 35 yrs - 21,051</t>
  </si>
  <si>
    <t>Chronic diseases 
Yes 1708
No 51740</t>
  </si>
  <si>
    <t>parity
Nulliparous: 22,414
Multiparous: 31,034</t>
  </si>
  <si>
    <t>Infants whose mothers did not receive the Tdap
vaccine</t>
  </si>
  <si>
    <t>Immink 2023</t>
  </si>
  <si>
    <t>Dutch Perinatal Registry; NL66966.000.18</t>
  </si>
  <si>
    <t>08/2019-12/2021</t>
  </si>
  <si>
    <t>PPP Conditions (Premature labor / pregnancy duration &lt;37 0/7 weeks (Table 3)
Fetal/infant developmental outcomes: small for gestational age (birth weight &lt;10th percentile per Hoftiezer) (Table 3)
Composite outcome: congenital anomalies, perinatal mortality, low Apgar score (&lt;7/10 at 5 min), NICU admission (Table 3))
General disorders and administration site conditions (solicited local and systemic AEs within 7 days post-vaccination: pain, erythema, swelling, induration, fever, fatigue, headache, nausea, vomiting, regular uterine contractions, diarrhea, dizziness, decreased appetite, stiffness in muscles/joints, itch, excessive transpiration, rash, swelling in neck/armpits/groins, sore throat, common cold-like symptoms, coughing, fainting, flu/flu-like symptoms — Figures 1 and 2)
Musculoskeletal and connective tissue disorders (stiffness in muscles/joints — Figure 2)
Nervous system disorders (headache, dizziness — Figure 2)
Gastrointestinal disorders (nausea, vomiting, diarrhea — Figure 2)
Respiratory, thoracic and mediastinal disorders (common cold-like symptoms, coughing — Figure 2)
Skin and subcutaneous tissue disorders (rash, itch — Figure 2)
Vascular disorders (excessive transpiration — Figure 2)</t>
  </si>
  <si>
    <t>Vaccination occured between 20-24wk GA &amp; 30-33wk GA</t>
  </si>
  <si>
    <t>Central Commission on Research Involving Human Subjects (registration number NL66966.000.18)</t>
  </si>
  <si>
    <t>Netherlands Organization for Health Research and Development (ZonMW Netherlands, registration number 522004008)</t>
  </si>
  <si>
    <t>20-24w GA group: mean 22.0w (1.3 SD)</t>
  </si>
  <si>
    <t>473 (65.4%)</t>
  </si>
  <si>
    <t>32.5 (4.0 SD)</t>
  </si>
  <si>
    <t>22.0 (1.3 SD)</t>
  </si>
  <si>
    <t>Vaccination between 20-24w GA</t>
  </si>
  <si>
    <t>30-33w GA group: mean 31.3w (0.8 SD)</t>
  </si>
  <si>
    <t>32.5 (3.3 SD)</t>
  </si>
  <si>
    <t>31.3 (0.8 SD)</t>
  </si>
  <si>
    <t>Vaccination between 30-33w GA</t>
  </si>
  <si>
    <t>Participants were each linked to four mothers in the DPR database from the year 2018, matched on date of birth of the mother (allowing a maximum age difference of 3 years), living area (4-digit postal code) and parity. These control mothers were presumed to be unvaccinated since Tdap vaccination was introduced at the end of 2019 in the Netherlands.</t>
  </si>
  <si>
    <t>Park 2019</t>
  </si>
  <si>
    <t>10 hospitals in Korea
NCT01929291</t>
  </si>
  <si>
    <t>06/2010 - 06-2016</t>
  </si>
  <si>
    <t>PPP Conditions (Premature labor, Vaginal hemorrhage, Birth premature, Pre-eclampsia, Fetal movements decreased, Infections and infestations)
General disorders</t>
  </si>
  <si>
    <t>Korea</t>
  </si>
  <si>
    <t>30-day period following vaccination</t>
  </si>
  <si>
    <t>NCT01929291</t>
  </si>
  <si>
    <t>GlaxoSmithKline Biologicals SA was the funding source and was involved in all stages of the study conduct and analysis</t>
  </si>
  <si>
    <t>211 pregnant subjects</t>
  </si>
  <si>
    <t>mean 33.10 yr (SD 3.32) (range: 25 to 43 years)</t>
  </si>
  <si>
    <t>mean 38 wk (SD 2) (range: 26 to 41)</t>
  </si>
  <si>
    <t>Previous pregnancies: 50.2%</t>
  </si>
  <si>
    <t>Each prefilled syringe dose of 0.5 mL Tdap (Boostrix®; GSK) vaccine contains a sterile suspension of diphtheria toxoid, tetanus toxoid and three purified antigens of B. pertussis (pertussis toxoid, pertussis filamentous haemagglutinin and pertactin) adsorbed onto aluminum salts. A single dose was administered to subjects by intramuscular injection according to standard clinical practice and regulations.</t>
  </si>
  <si>
    <t>Ozdil 2021</t>
  </si>
  <si>
    <t>Istanbul University-Cerrahpasa, Cerrahpasa Faculty of Medicine, Department of Obstetrics and Gynecology</t>
  </si>
  <si>
    <t>01/2016 - 12/2016</t>
  </si>
  <si>
    <t>Turkey</t>
  </si>
  <si>
    <t>Those with twin pregnancies and fetuses with known congenital malformations, severe organ dysfunction and chromosomal anomalies were excluded from the study.</t>
  </si>
  <si>
    <t>The Turkish Pediatric Association provided financial support for the procurement of the vaccines. The Turkish Pediatric Association had no role in the study design, collection, analysis and interpretation of data, the writing of the report and in the decision to submit the article for publication.</t>
  </si>
  <si>
    <t>70 pregnant participants</t>
  </si>
  <si>
    <t>mean 29.59yr (SD 4.70)</t>
  </si>
  <si>
    <t>mean 28.7 wk (SD 1.33)</t>
  </si>
  <si>
    <t>Consanguinity: 10</t>
  </si>
  <si>
    <t>Maternal drug usage: 18
Smoking: 4</t>
  </si>
  <si>
    <t>The Tdap vaccine (0.5 ml, Boostrix, GlaxoSmithKline) containing tetanus toxoid, diphtheria toxoid, inactivated pertussis toxin (PT), filamentous hemagglutinin (FHA) and pertactin was injected into the deltoid muscle.</t>
  </si>
  <si>
    <t>Between 27 and 33 gestational weeks</t>
  </si>
  <si>
    <t>49% of women received Td more than four weeks before the TdaP vaccine.</t>
  </si>
  <si>
    <t>Cabrera-Maqueda 2017</t>
  </si>
  <si>
    <t>Boostrix, GSK Biologicals S.A</t>
  </si>
  <si>
    <t>2 Case reports from Virgen de la Arrixaca Hospital, Murcia, Spain</t>
  </si>
  <si>
    <t>Nervous system disorders (Optic neuritis)</t>
  </si>
  <si>
    <t>Spain</t>
  </si>
  <si>
    <t>Tdap - Case 1</t>
  </si>
  <si>
    <t>38 yrs</t>
  </si>
  <si>
    <t>28 wks</t>
  </si>
  <si>
    <t>A 38 year old Caucasian woman who was 31 weeks pregnant presented with right eye vision blurring and pain on eye movement that had worsened over one week. She received Tdap vaccine (Boostrix, GSK Biologicals S.A) at 28 weeks of gestation.</t>
  </si>
  <si>
    <t>28 wks of gestation</t>
  </si>
  <si>
    <t>Tdap - Case 2</t>
  </si>
  <si>
    <t>29 wks</t>
  </si>
  <si>
    <t>A 38 year old Caucasian female presented at 30 weeks of gestation with painful left eye blurred vision that had developed two week after receiving Tdap vaccination (Boostrix, GSK Biologicals S.A) at 28 weeks gestation.</t>
  </si>
  <si>
    <t>Switzer 2021</t>
  </si>
  <si>
    <t>Adacel  (Sanofi Pasteur)</t>
  </si>
  <si>
    <t>Adacel (Tdap5) Pregnancy Registry, included in Sanofi Pasteur’s Global Pharmacovigilance database.</t>
  </si>
  <si>
    <t>06/2005 - 10/2016</t>
  </si>
  <si>
    <t>Hypertension and preeclampsia, Gestational diabetes, Amniotic cavity infection, Fetal growth restriction, Placental abruption, Fetal hypokinesia, Placenta previa, Vaginal hemorrhage, Premature labor, Premature rupture of membranes, Bacterial toxemia, Birth weight, Congenital Anomalies, General disorders and administration site conditions, Blood and lymphatic system disorders, Gastrointestinal disorders, Infections and infestations, Respiratory, thoracic and mediastinal disorders, Nervous system disorders, Psychiatric disorders, Musculoskeletal and connective tissue disorders, Vascular disorders</t>
  </si>
  <si>
    <t>USA 96.9% 
Australia, Brazil, Canada, Vietnam, Colombia, Argentina, Germany, Israel, Peru and Venezuela.</t>
  </si>
  <si>
    <t>Voluntary reports from health care providers and consumers about Tdap5 vaccine administration to women who were pregnant at the time of vaccination.
Elective terminations were reviewed on a per-case basis to determine whether they were attributable to Tdap5 vaccination; those unrelated were excluded from the analysis as they did not constitute adverse events.</t>
  </si>
  <si>
    <t>Funding of the registry is provided by Sanofi Pasteur. Funding for this study was in the form of compensation from Sanofi Pasteur to its employees.</t>
  </si>
  <si>
    <t>1,182 pregnancies</t>
  </si>
  <si>
    <t>Pregnant women receiving Tdap5 vaccine</t>
  </si>
  <si>
    <t>Fortner 2018</t>
  </si>
  <si>
    <t>Adacel (Sanofi Pasteur); Boostrix (GSK)</t>
  </si>
  <si>
    <t>Two CDC-funded Clinical Immunization Safety Assessment (CISA) centers, Vanderbilt University Medical Center and Duke University Health System (electronic medical records, state immunization registries)</t>
  </si>
  <si>
    <t>Enrollment: 07/2014 - 07/2015
NCT: 05/2014 - 12/2017</t>
  </si>
  <si>
    <t>General disorders and administration site conditions, Musculoskeletal and connective tissue disorders, Nervous system disorders</t>
  </si>
  <si>
    <t>Pregnant women aged 18-45years between 20 weeks 0 days and 33 weeks 6 days gestation, intending to receive Tdap as part of standard ACIP guidelines, with a singleton pregnancy, English or Spanish literate, and with intention to be available throughout the study period</t>
  </si>
  <si>
    <t>28 days post-vaccination</t>
  </si>
  <si>
    <t>NCT02209623</t>
  </si>
  <si>
    <t>CDC Clinical Immunization Safety Assessment Project (contract number 200-201250430 Vanderbilt University and 200 2012 53663 Duke University); Bill and Melinda Gates Foundation, Seattle, WA (OPP1127324)</t>
  </si>
  <si>
    <t>374 pregnant subjects</t>
  </si>
  <si>
    <t>mean 29.2 yr (SD 5.6)</t>
  </si>
  <si>
    <t>mean 29.5 wk (SD 2.2)</t>
  </si>
  <si>
    <t>HIV: 0%</t>
  </si>
  <si>
    <t>Following baseline blood sampling, a single 0.5 mL intramuscular (IM) dose of either US-licensed Tdap (Adacel or Boostrix depending on clinical supply) was administered during routine prenatal care.</t>
  </si>
  <si>
    <t>Chokephaibulkit 2024</t>
  </si>
  <si>
    <t>ap1gen, Tdap1gen, Tdap2gen, TdaP5gen (Boostagen); comparator Tdap8chem (Boostrix)</t>
  </si>
  <si>
    <t>Siriraj Hospital and King Chulalongkorn Memorial Hospital in Thailand
Thai Clinical Trial Registry number: TCTR20180725004 (Immunogenicity and safety of various recombinant acellular pertussis-containing vaccines in healthy pregnant women)</t>
  </si>
  <si>
    <t>Enrollment: 02/2019 - 10/2019
Trial website: 02/2019 - 08/2021</t>
  </si>
  <si>
    <t>Congential abnomality, prematurity, small for gestational age, low birth weight, Pregnancy loss or stillbirth, Preterm delivery, Premature rupture of membranes, Pregnancy-induced hypertension, Preeclampsia/eclampsia, Intrauterine growth restriction, Obstetric hemorrhage, Gestational diabetes, Blood and lymphatic system disorders, infections and infestations, Fetal distress, General disorders and administration site conditions, Oligohydramnios, Placenta previa, Threatened preterm labor, renal and urinary disorders (Hematuria), Neoplasms benign, malignant and unspecified (incl cysts and polyps) Myoma</t>
  </si>
  <si>
    <t>Healthy pregnant women aged 18 to 40 years old with an uncomplicated singleton pregnancy were randomized to receive a single 0.5 mL dose of one of five vaccines at 20–33 weeks gestation.
For this phase 2 study, the inclusion criteria defined the second trimester of pregnancy as beginning at week 20 up to week 26. The third trimester of pregnancy was defined as beginning at week 27 up to week 33 gestational age. Exclusion criteria are outlined in the Supplementary Appendix.</t>
  </si>
  <si>
    <t>from delivery up to 2 months post-delivery</t>
  </si>
  <si>
    <t>Thai Clinical Trial Registry number: TCTR20180725004</t>
  </si>
  <si>
    <t>This work was funded by a grant from the Bill &amp; Melinda Gates Foundation, Seattle, USA [grant number OPP1120084]. The findings and conclusions contained within are those of authors and do not reflect position or policies of the Bill &amp; Melinda Gates Foundation.</t>
  </si>
  <si>
    <t>mean 29.8 yr (SD 5.2)</t>
  </si>
  <si>
    <t>mean 26.8 yr (SD 3.7)</t>
  </si>
  <si>
    <t>immune deficiency, hypertension or other cardiovascular disease: 0%</t>
  </si>
  <si>
    <t>History of smoking, alcoholism, and/or intravenous drug abuse which in the opinion of the investigator could have interfered with the study outcome evaluation: 0%</t>
  </si>
  <si>
    <t>Prior stillbirth or neonatal death, or multiple (≥3) spontaneous abortions: 0%
Prior preterm delivery &lt;37 weeks gestation: 0%
Greater than five prior deliveries: 0%</t>
  </si>
  <si>
    <t>Pregnant women received one dose of Tdap8chem (BoostrixTM)
Pregnant women who got a single 0.5 mL dose of Tdap8chem vaccine contains Td (5 Lf of tetanus toxoid and 2.5 Lf of diphtheria toxoid) combined with 8 μg of PT, 8 μg of FHA and 2.5 μg of Pertactin.</t>
  </si>
  <si>
    <t>20–33 weeks gestation</t>
  </si>
  <si>
    <t>Having received any other vaccines within 28 days prior to recruitment (3 months for live attenuated vaccines): 0%</t>
  </si>
  <si>
    <t>Kuznetsova 2022</t>
  </si>
  <si>
    <t>Boostrix US Pregnancy Registry (GSK in-house data source)</t>
  </si>
  <si>
    <t>05/2005-08/2019</t>
  </si>
  <si>
    <t>PPP Conditions (Stillbirth, Spontaneous abortions, elective terminations, live infants) SAEs (live infants with birth defects)</t>
  </si>
  <si>
    <t>pregnancy outcomes in women exposed to Boostrix between 28 days before estimated date of conception and the end of pregnancy for reports that were prospectively registered in the Boostrix US Pregnancy Registry
analysed pregnancy reports from outside the US for Boostrix/Tdap or Boostrix-IPV/Tdap-IPV that were prospectively or retrospectively reported to the global safety database, from the time of marketing authorisation until the data lock point.
For prospectively reported pregnancies from the US, registra-
tion data received from the reporter through a telephone interview
or registration form were collected in the Boostrix US Pregnancy
Registry. To be eligible for registration, pregnancy reports needed
to include (1) documentation that Boostrix was administered
between 28 days before the estimated date of conception and the
end of pregnancy, (2) confirmation of prospective reporting, (3)
confirmation of US residency of the pregnant woman, (4) identifi-
cation details of a healthcare professional (HCP), and (5) an identi-
fier of the pregnant woman to allow ascertainment of the
pregnancy outcome.</t>
  </si>
  <si>
    <t>6 and 12 months</t>
  </si>
  <si>
    <t>GlaxoSmithKline Biologicals SA</t>
  </si>
  <si>
    <t>339 pregnant women</t>
  </si>
  <si>
    <t>Tdap (Prospective US)</t>
  </si>
  <si>
    <t>28.4 ± 5.3 years (range 13-42 years)</t>
  </si>
  <si>
    <t>Women exposed to Boostrix</t>
  </si>
  <si>
    <t>Betwen 28 days before estimated date of conception and the end of pregnancy.</t>
  </si>
  <si>
    <t>Tdap (Prospective World)</t>
  </si>
  <si>
    <t xml:space="preserve">Women exposed to Boostrix </t>
  </si>
  <si>
    <t>28 days before estimated date of conception and the end of pregnancy</t>
  </si>
  <si>
    <t>IPV, a separate cohort (89) had Boostrix-IPV</t>
  </si>
  <si>
    <t>Nunes 2023</t>
  </si>
  <si>
    <t>Adacel (Sanofi)</t>
  </si>
  <si>
    <t xml:space="preserve">Clinics in Soweto, South Africa
NCT05264662 </t>
  </si>
  <si>
    <t>03/2022-09/2022</t>
  </si>
  <si>
    <t>Eclampsia, Foetal death, Gestational diabetes, Gestational hypertension, Haemorrhage in pregnancy, Pre-eclampsia, Premature labour, Premature rupture of membranes, Foetal distress syndrome, Foetal hypokinesia, Oligohydramnios, Premature delivery, General disorders and administration site conditions, Nervous system disorders, Musculoskeletal and connective tissue disorders, Blood and lymphatic system disorders, Cardiac disorders, Psychiatric disorders, Infections and infestations</t>
  </si>
  <si>
    <t>South Africa</t>
  </si>
  <si>
    <t>Healthy, pregnant women 18–39 years of age, 20–36 weeks of gestational age of a singleton pregnancy, considered to be at low risk for complications, and documented to be HIV-infected or HIV-uninfected were eligible for enrolment (full inclusion and exclusion criteria in supplement http://links.lww.com/QAD/ C991).</t>
  </si>
  <si>
    <t>One month for safety outcomes</t>
  </si>
  <si>
    <t>NCT05264662</t>
  </si>
  <si>
    <t>This study was supported by a grant from Sanofi (TD500058).</t>
  </si>
  <si>
    <t>227 pregnant subjects</t>
  </si>
  <si>
    <t>mean 28.7 yr (SD 5.5)</t>
  </si>
  <si>
    <t>gestational age: mean 28.7 wk (SD 4.1)</t>
  </si>
  <si>
    <t>HIV 91/227=40.1%</t>
  </si>
  <si>
    <t xml:space="preserve">Number smoking during pregnancy: 10 (4.4%) 
Number drinking alcohol during pregnancy: 7 (3.1%) </t>
  </si>
  <si>
    <t>primigravida: 43 (18.9%) 
gravidity: median 2 (IQR 1.5, 2.5)</t>
  </si>
  <si>
    <t>Vaccinated HIV+</t>
  </si>
  <si>
    <t>mean 30.7 yr (SD 4.9)</t>
  </si>
  <si>
    <t>gestational age: mean 30.7 wk (SD 4.9)</t>
  </si>
  <si>
    <t>Number on antiretroviral treatment: 91 (100%)
BMI: mean 30.7 (SD 6.5)</t>
  </si>
  <si>
    <t>Number smoking during pregnancy: 6 (6.6%)
Number drinking alcohol during pregnancy: 4 (4.4%)</t>
  </si>
  <si>
    <t>primigravida: 5 (5.5%)
gravidity: median 3 (IQR 2.5, 3.5)</t>
  </si>
  <si>
    <t>Women received commercially available Adacel (Sanofi, France) vaccine.</t>
  </si>
  <si>
    <t>Vaccination between 20-36w GA</t>
  </si>
  <si>
    <t>Vaccinated with at least one TT dose during this pregnancy: 52 (57.1%)</t>
  </si>
  <si>
    <t>Vaccinated HIV-</t>
  </si>
  <si>
    <t>mean 27.3 yr (SD 5.5)</t>
  </si>
  <si>
    <t>gestational age: mean 28.9 wk (SD 3.9)</t>
  </si>
  <si>
    <t>BMI: mean 30.8 (SD 5.7)</t>
  </si>
  <si>
    <t>Number smoking during pregnancy: 4 (2.9%)
Number drinking alcohol during pregnancy: 3 (2.2%)</t>
  </si>
  <si>
    <t>primigravida: 38 (27.7%)
gravidity: median 2 (IQR 1, 3)</t>
  </si>
  <si>
    <t>Vaccinated with at least one TT dose during this pregnancy: 65 (47.8%)</t>
  </si>
  <si>
    <t>Perry 2017</t>
  </si>
  <si>
    <t>University of Tennessee Medical Center, Knoxville, TN, United States. "Study patients came from our obstetrical clinic patient population followed by maternal-fetal medicine specialists and 8 private physicians from five obstetrical groups in our local community."</t>
  </si>
  <si>
    <t>05/2014 - 05/2016</t>
  </si>
  <si>
    <t>General disorders and administration site conditions</t>
  </si>
  <si>
    <t>This was a prospective observational study assessing patient reaction following receipt of the Tdap vaccination during pregnancy. Study patients came from our obstetrical clinic patient population followed by maternal-fetal medicine specialists and 8 private physicians from five obstetrical groups in our local community.</t>
  </si>
  <si>
    <t>1–2 weeks post-vaccination</t>
  </si>
  <si>
    <t>737 pregnant women</t>
  </si>
  <si>
    <t>mean 28.6 yr (range 16-44)</t>
  </si>
  <si>
    <t>mean 30.1 wk (SD 2.9)</t>
  </si>
  <si>
    <t>156 (21%) patients that had medical complications of diabetes, hypertension, and other chronic illnesses.</t>
  </si>
  <si>
    <t>Nulliparous: 63%</t>
  </si>
  <si>
    <t>Receipt of the Tdap vaccination during pregnancy</t>
  </si>
  <si>
    <t>Quadrivalent influenza vaccination: 33 (4.5%)</t>
  </si>
  <si>
    <t>Nguyen 2025</t>
  </si>
  <si>
    <t>Boostrix (GSK), TT (adsorbed tetanus vaccine, Institute of Vaccines and Medical Biologicals IVAC)</t>
  </si>
  <si>
    <t>Vaccination Unit of the University Medical Center Ho Chi
Minh City and the Obstetrics Department of Gia Dinh People’s Hospital</t>
  </si>
  <si>
    <t>09/2023-09/2024</t>
  </si>
  <si>
    <t>General disorders and administration site conditions, Erythema, Nervous system disorders, Gastrointestinal disorders (loss of apetite),</t>
  </si>
  <si>
    <t>VN</t>
  </si>
  <si>
    <t>Eligible participants were pregnant women aged 18 years or older who provided written informed consent to participate in the study. Participants were excluded if they failed to complete the questionnaire, had a known hypersensitivity to vaccine components, or had a history of severe adverse events following vaccination with diphtheria-, pertussis-, or tetanus-containing vaccines.</t>
  </si>
  <si>
    <t>"This research received no external funding."</t>
  </si>
  <si>
    <t>2 or more: 231*</t>
  </si>
  <si>
    <t>32.37y ±4.01 mean</t>
  </si>
  <si>
    <t>&gt;= 2: 117</t>
  </si>
  <si>
    <t>Pregnant women vaccinated with "reduced-dose" Boostrix Tdap</t>
  </si>
  <si>
    <t>Inactivated quadrivalent influenza vaccine (Influvac Tetra, Abbott)</t>
  </si>
  <si>
    <t>31.99±6.37 mean</t>
  </si>
  <si>
    <t>&gt;= 2: 114</t>
  </si>
  <si>
    <t>Monovalent tetanus toxoid (TT; adsorbed tetanus vaccine, Institute of Vaccines and Medical Biologicals IVAC)</t>
  </si>
  <si>
    <t>Mbayei 2019</t>
  </si>
  <si>
    <t>Enhanced Pertussis Surveillance (EPS) as part of the Emerging Infections Program Network in 7 US states</t>
  </si>
  <si>
    <t>01/2011 - 12/2015</t>
  </si>
  <si>
    <t>Hospitalization</t>
  </si>
  <si>
    <t>For this analysis, only documented vaccine doses administered at least 14 days prior to cough onset and, in the case of maternal Tdap, 14 days prior to infant birth were considered valid.</t>
  </si>
  <si>
    <t>This work was supported by a CDC cooperative agreement with the Emerging Infections Program Network.</t>
  </si>
  <si>
    <t>96 pregnant women who got Tdap</t>
  </si>
  <si>
    <t>maternal Tdap in trimester 1, 2 or 3</t>
  </si>
  <si>
    <t>no maternal Tdap</t>
  </si>
  <si>
    <t>Kerr 2020</t>
  </si>
  <si>
    <t>Slone Epidemiology Center Birth Defects Study (Slone BDS), Boston University; interviews 2006–2015; hospitals and birth defect registries in Massachusetts, Philadelphia PA, San Diego CA, Nashville TN, and parts of New York State</t>
  </si>
  <si>
    <t>2006 -2015</t>
  </si>
  <si>
    <t>congential defects, Persistent pulmonary hypertension of the newborn, Cardiac disorders, eye disorders, Renal and urinary disorders</t>
  </si>
  <si>
    <t>"infants with any major structural malformation (cases) were ascertained at participating hospitals or birth defect registries for parts of Massachusetts, areas surrounding Philadelphia, PA; San Diego, CA (since 2001); Nashville, TN (since 2012); and parts of New York State (since 2004). Control subjects were live-born infants without major malformations who were ascertained from study hospitals and birth certificates in the catchment areas from which cases were recruited."</t>
  </si>
  <si>
    <t>within 6 monoths of delivery</t>
  </si>
  <si>
    <t>U.S. National Vaccine Program Office (NVPO) in collaboration with the U.S. Biomedical Advanced Research and Development Authority (BARDA) and the U.S. Food and Drug Administration (FDA), Grant/Award Number: HHSP 233201600064C</t>
  </si>
  <si>
    <t>&lt;20: 53 (5.8%)
20-24: 132 (14.6%)
25-29: 255 (28.1%)
30-34: 319 (35.2%)
35+: 148 (16.3%)</t>
  </si>
  <si>
    <t xml:space="preserve">First trimester exposure (T1): 0.6% of controls (N=35); 
Second/third trimester exposure (T2/T3): 15.0% of controls (N=874). </t>
  </si>
  <si>
    <r>
      <rPr>
        <b/>
        <sz val="10"/>
        <color theme="1"/>
        <rFont val="Arial"/>
        <family val="2"/>
      </rPr>
      <t>Prepregnancy BMI</t>
    </r>
    <r>
      <rPr>
        <sz val="10"/>
        <color theme="1"/>
        <rFont val="Arial"/>
        <family val="2"/>
      </rPr>
      <t xml:space="preserve">
Underweight (&lt;18.5 kg/m2) 24 (2.7%)
Normal weight (18.5–24.9 kg/m2) 527 (59.5%)
Overweight (25–29.9 kg/m2) 199 (22.5%)
Obese (≥30 kg/m2) 135 (15.3%)</t>
    </r>
  </si>
  <si>
    <r>
      <rPr>
        <b/>
        <sz val="10"/>
        <color theme="1"/>
        <rFont val="Arial"/>
        <family val="2"/>
      </rPr>
      <t xml:space="preserve">Smoking
Never </t>
    </r>
    <r>
      <rPr>
        <sz val="10"/>
        <color theme="1"/>
        <rFont val="Arial"/>
        <family val="2"/>
      </rPr>
      <t xml:space="preserve">819 (90.2%)
</t>
    </r>
    <r>
      <rPr>
        <b/>
        <sz val="10"/>
        <color theme="1"/>
        <rFont val="Arial"/>
        <family val="2"/>
      </rPr>
      <t xml:space="preserve">Before pregnancy </t>
    </r>
    <r>
      <rPr>
        <sz val="10"/>
        <color theme="1"/>
        <rFont val="Arial"/>
        <family val="2"/>
      </rPr>
      <t xml:space="preserve">1 (0.1%)
</t>
    </r>
    <r>
      <rPr>
        <b/>
        <sz val="10"/>
        <color theme="1"/>
        <rFont val="Arial"/>
        <family val="2"/>
      </rPr>
      <t xml:space="preserve">During pregnancy </t>
    </r>
    <r>
      <rPr>
        <sz val="10"/>
        <color theme="1"/>
        <rFont val="Arial"/>
        <family val="2"/>
      </rPr>
      <t xml:space="preserve">88 (9.7%)
</t>
    </r>
    <r>
      <rPr>
        <b/>
        <sz val="10"/>
        <color theme="1"/>
        <rFont val="Arial"/>
        <family val="2"/>
      </rPr>
      <t>Any drinking during pregnancy</t>
    </r>
    <r>
      <rPr>
        <sz val="10"/>
        <color theme="1"/>
        <rFont val="Arial"/>
        <family val="2"/>
      </rPr>
      <t xml:space="preserve">
</t>
    </r>
    <r>
      <rPr>
        <b/>
        <sz val="10"/>
        <color theme="1"/>
        <rFont val="Arial"/>
        <family val="2"/>
      </rPr>
      <t xml:space="preserve">None </t>
    </r>
    <r>
      <rPr>
        <sz val="10"/>
        <color theme="1"/>
        <rFont val="Arial"/>
        <family val="2"/>
      </rPr>
      <t xml:space="preserve">432 (47.6%)
</t>
    </r>
    <r>
      <rPr>
        <b/>
        <sz val="10"/>
        <color theme="1"/>
        <rFont val="Arial"/>
        <family val="2"/>
      </rPr>
      <t xml:space="preserve">Any </t>
    </r>
    <r>
      <rPr>
        <sz val="10"/>
        <color theme="1"/>
        <rFont val="Arial"/>
        <family val="2"/>
      </rPr>
      <t xml:space="preserve">476 (52.4%)
</t>
    </r>
    <r>
      <rPr>
        <b/>
        <sz val="10"/>
        <color theme="1"/>
        <rFont val="Arial"/>
        <family val="2"/>
      </rPr>
      <t>Any illicit drug use in pregnancy</t>
    </r>
    <r>
      <rPr>
        <sz val="10"/>
        <color theme="1"/>
        <rFont val="Arial"/>
        <family val="2"/>
      </rPr>
      <t xml:space="preserve">
</t>
    </r>
    <r>
      <rPr>
        <b/>
        <sz val="10"/>
        <color theme="1"/>
        <rFont val="Arial"/>
        <family val="2"/>
      </rPr>
      <t xml:space="preserve">No </t>
    </r>
    <r>
      <rPr>
        <sz val="10"/>
        <color theme="1"/>
        <rFont val="Arial"/>
        <family val="2"/>
      </rPr>
      <t xml:space="preserve">886 (97.6%)
</t>
    </r>
    <r>
      <rPr>
        <b/>
        <sz val="10"/>
        <color theme="1"/>
        <rFont val="Arial"/>
        <family val="2"/>
      </rPr>
      <t xml:space="preserve">Yes </t>
    </r>
    <r>
      <rPr>
        <sz val="10"/>
        <color theme="1"/>
        <rFont val="Arial"/>
        <family val="2"/>
      </rPr>
      <t xml:space="preserve">22 (2.4%)
</t>
    </r>
  </si>
  <si>
    <r>
      <rPr>
        <b/>
        <sz val="10"/>
        <color theme="1"/>
        <rFont val="Arial"/>
        <family val="2"/>
      </rPr>
      <t>Gravidity</t>
    </r>
    <r>
      <rPr>
        <sz val="10"/>
        <color theme="1"/>
        <rFont val="Arial"/>
        <family val="2"/>
      </rPr>
      <t xml:space="preserve">
1 pregnancy: 367 (40.4%)
2 pregnancies: 264 (29.1%)
3 pregnancies: 149 (16.4%)
4+ pregnancies: 128 (14.1%)
</t>
    </r>
    <r>
      <rPr>
        <b/>
        <sz val="10"/>
        <color theme="1"/>
        <rFont val="Arial"/>
        <family val="2"/>
      </rPr>
      <t>Parity
Primiparous (given birth &lt;=1)</t>
    </r>
    <r>
      <rPr>
        <sz val="10"/>
        <color theme="1"/>
        <rFont val="Arial"/>
        <family val="2"/>
      </rPr>
      <t xml:space="preserve">: 460 (50.6%)
</t>
    </r>
    <r>
      <rPr>
        <b/>
        <sz val="10"/>
        <color theme="1"/>
        <rFont val="Arial"/>
        <family val="2"/>
      </rPr>
      <t>Multiparous (given birth 2+):</t>
    </r>
    <r>
      <rPr>
        <sz val="10"/>
        <color theme="1"/>
        <rFont val="Arial"/>
        <family val="2"/>
      </rPr>
      <t xml:space="preserve"> 449 (49.4%)</t>
    </r>
  </si>
  <si>
    <t>1st prenatal visit in trimester 1: 
No: 35 (3.9%)
Yes:  874 (96.1%)</t>
  </si>
  <si>
    <t>live-born infants without major malformations (controls) whose mother got Tdap in T1 or T2/3
"When mothers reported receipt of any vaccine, they were asked permission for study staff to contact the reported provider of the vaccine in order to verify and obtain details of the exposure, including exact date of administration."
"We also received some reports of Tdap immunization only from the provider (e.g., if a mother reported influenza vaccine, we might also receive a provider report of Tdap vaccine not reported by the mother). For this analysis, we included Tdap vaccine exposures reported by mothers or providers. If a mother did not report a specific date for receipt of Tdap and a vaccination date was not obtained from a provider, we used the midpoint of the mother's reported date range to assign timing of exposure as either first trimester (the first three lunar months after LMP) or second/third trimester (fourth lunar month through end of pregnancy)"</t>
  </si>
  <si>
    <t>&lt;20: 329 (6.8%)
20-24: 799 (16.6%)
25-29: 1360 (28.3%)
30-34: 1476 (30.7%)
35+: 849 (17.6%)</t>
  </si>
  <si>
    <r>
      <rPr>
        <b/>
        <sz val="10"/>
        <color theme="1"/>
        <rFont val="Arial"/>
        <family val="2"/>
      </rPr>
      <t>Prepregnancy BMI</t>
    </r>
    <r>
      <rPr>
        <sz val="10"/>
        <color theme="1"/>
        <rFont val="Arial"/>
        <family val="2"/>
      </rPr>
      <t xml:space="preserve">
Underweight (&lt;18.5 kg/m2) 193 (4.1%)
Normal weight (18.5–24.9 kg/m2) 2,670 (57.3%)
Overweight (25–29.9 kg/m2) 1,047 (22.5%)
Obese (≥30 kg/m2) 750 (16.1%)</t>
    </r>
  </si>
  <si>
    <r>
      <rPr>
        <b/>
        <sz val="10"/>
        <color theme="1"/>
        <rFont val="Arial"/>
        <family val="2"/>
      </rPr>
      <t xml:space="preserve">Smoking
Never </t>
    </r>
    <r>
      <rPr>
        <sz val="10"/>
        <color theme="1"/>
        <rFont val="Arial"/>
        <family val="2"/>
      </rPr>
      <t xml:space="preserve">3,804 (78.9%)
</t>
    </r>
    <r>
      <rPr>
        <b/>
        <sz val="10"/>
        <color theme="1"/>
        <rFont val="Arial"/>
        <family val="2"/>
      </rPr>
      <t xml:space="preserve">Before pregnancy </t>
    </r>
    <r>
      <rPr>
        <sz val="10"/>
        <color theme="1"/>
        <rFont val="Arial"/>
        <family val="2"/>
      </rPr>
      <t xml:space="preserve">377 (7.8%)
</t>
    </r>
    <r>
      <rPr>
        <b/>
        <sz val="10"/>
        <color theme="1"/>
        <rFont val="Arial"/>
        <family val="2"/>
      </rPr>
      <t xml:space="preserve">During pregnancy </t>
    </r>
    <r>
      <rPr>
        <sz val="10"/>
        <color theme="1"/>
        <rFont val="Arial"/>
        <family val="2"/>
      </rPr>
      <t xml:space="preserve">639 (13.3%)
</t>
    </r>
    <r>
      <rPr>
        <b/>
        <sz val="10"/>
        <color theme="1"/>
        <rFont val="Arial"/>
        <family val="2"/>
      </rPr>
      <t>Any drinking during pregnancy</t>
    </r>
    <r>
      <rPr>
        <sz val="10"/>
        <color theme="1"/>
        <rFont val="Arial"/>
        <family val="2"/>
      </rPr>
      <t xml:space="preserve">
</t>
    </r>
    <r>
      <rPr>
        <b/>
        <sz val="10"/>
        <color theme="1"/>
        <rFont val="Arial"/>
        <family val="2"/>
      </rPr>
      <t xml:space="preserve">None </t>
    </r>
    <r>
      <rPr>
        <sz val="10"/>
        <color theme="1"/>
        <rFont val="Arial"/>
        <family val="2"/>
      </rPr>
      <t xml:space="preserve">2,485 (51.6%)
</t>
    </r>
    <r>
      <rPr>
        <b/>
        <sz val="10"/>
        <color theme="1"/>
        <rFont val="Arial"/>
        <family val="2"/>
      </rPr>
      <t xml:space="preserve">Any </t>
    </r>
    <r>
      <rPr>
        <sz val="10"/>
        <color theme="1"/>
        <rFont val="Arial"/>
        <family val="2"/>
      </rPr>
      <t xml:space="preserve"> 2,328 (48.4%)
</t>
    </r>
    <r>
      <rPr>
        <b/>
        <sz val="10"/>
        <color theme="1"/>
        <rFont val="Arial"/>
        <family val="2"/>
      </rPr>
      <t>Any illicit drug use in pregnancy</t>
    </r>
    <r>
      <rPr>
        <sz val="10"/>
        <color theme="1"/>
        <rFont val="Arial"/>
        <family val="2"/>
      </rPr>
      <t xml:space="preserve">
</t>
    </r>
    <r>
      <rPr>
        <b/>
        <sz val="10"/>
        <color theme="1"/>
        <rFont val="Arial"/>
        <family val="2"/>
      </rPr>
      <t xml:space="preserve">No </t>
    </r>
    <r>
      <rPr>
        <sz val="10"/>
        <color theme="1"/>
        <rFont val="Arial"/>
        <family val="2"/>
      </rPr>
      <t xml:space="preserve">4,721 (98.4%)
</t>
    </r>
    <r>
      <rPr>
        <b/>
        <sz val="10"/>
        <color theme="1"/>
        <rFont val="Arial"/>
        <family val="2"/>
      </rPr>
      <t xml:space="preserve">Yes </t>
    </r>
    <r>
      <rPr>
        <sz val="10"/>
        <color theme="1"/>
        <rFont val="Arial"/>
        <family val="2"/>
      </rPr>
      <t xml:space="preserve">78 (1.6%)
</t>
    </r>
  </si>
  <si>
    <r>
      <rPr>
        <b/>
        <sz val="10"/>
        <color theme="1"/>
        <rFont val="Arial"/>
        <family val="2"/>
      </rPr>
      <t xml:space="preserve">Gravidity
</t>
    </r>
    <r>
      <rPr>
        <sz val="10"/>
        <color theme="1"/>
        <rFont val="Arial"/>
        <family val="2"/>
      </rPr>
      <t xml:space="preserve">1 pregnancy: 1,475 (30.6%)
2 pregnancies: 1,475 (30.6%)
3 pregnancies: 915 (19.0%)
4+ pregnancies: 948 (19.7%)
</t>
    </r>
    <r>
      <rPr>
        <b/>
        <sz val="10"/>
        <color theme="1"/>
        <rFont val="Arial"/>
        <family val="2"/>
      </rPr>
      <t>Parity
Primiparous (given birth &lt;=1)</t>
    </r>
    <r>
      <rPr>
        <sz val="10"/>
        <color theme="1"/>
        <rFont val="Arial"/>
        <family val="2"/>
      </rPr>
      <t xml:space="preserve">: 1998 (41.4%)
</t>
    </r>
    <r>
      <rPr>
        <b/>
        <sz val="10"/>
        <color theme="1"/>
        <rFont val="Arial"/>
        <family val="2"/>
      </rPr>
      <t>Multiparous (given birth 2+)</t>
    </r>
    <r>
      <rPr>
        <sz val="10"/>
        <color theme="1"/>
        <rFont val="Arial"/>
        <family val="2"/>
      </rPr>
      <t>: 2,823 (58.6%)</t>
    </r>
  </si>
  <si>
    <t>1st prenatal visit in trimester 1: 
No: 294 (6.1%)
Yes: 4528 (93.9%)</t>
  </si>
  <si>
    <t>live-born infants without major malformations (controls) whose mother did NOT get Tdap in T1 or T2/3
"No Tdap vaccine during pregnancy"</t>
  </si>
  <si>
    <t>SilvaDirzo 2026</t>
  </si>
  <si>
    <t>15 pediatric hospitals across Mexico</t>
  </si>
  <si>
    <t>01/2024-04/2025</t>
  </si>
  <si>
    <t>Confirmed cases</t>
  </si>
  <si>
    <t>INCLUDE: patients under 18 years of age with PCR-confirmed Bordetella pertussis infection
The diagnosis was made using multiplex respiratory panels (BioFire FilmArray Respiratory Panel 2.1; bioMérieux) or real-time PCR, following validated national protocols.</t>
  </si>
  <si>
    <t>9 infants</t>
  </si>
  <si>
    <t>≤2 months</t>
  </si>
  <si>
    <t>NR
"Data on gestational weeks at vaccination were not available."</t>
  </si>
  <si>
    <t>Vaccination status was verified through immunization records and family reports.</t>
  </si>
  <si>
    <t>Wanlapakorn 2018</t>
  </si>
  <si>
    <t>Boostrix, GlaxoSmithKline, Rixensart, Belgium</t>
  </si>
  <si>
    <t>Pregnant women - King Chulalongkorn Memorial Hospital in Bangkok
Follow-up infants study - NCT02408926 (Vaccine Responses in Infants After Acellular Pertussis Vaccination During Pregnancy in Thailand)</t>
  </si>
  <si>
    <t>04/2015 - 09/2016</t>
  </si>
  <si>
    <t>Gestational hypertension, Gestational diabetes, premature delivery, Chorioamnionitis, Severe pre-eclampsia, Fetal death, congential defects, HELLP syndrome, respiratory (birth asphyxia), Oligohydramnios, General disorders and administration site conditions, Infections and infestations, Blood and lymphatic system disorders, Gastrointestinal disorders, Nervous system disorders, Psychiatric disorders</t>
  </si>
  <si>
    <t>"Inclusion Criteria for pregnant women
1.        Women aged 18-40 years
2.        Willing to be immunized with a pertussis containing vaccine during pregnancy at GA 27-36 weeks gestation
3.        Intend to be available for follow-up visits and phone call through 19 months postpartum
4.        Willing to have infant immunized with a pertussis containing vaccine at 2, 4, 6 months and 18 months of age the randomized aP or wP vaccine
5.        At low risk for pregnancy related complications as determined by the investigator and  a second trimester ultrasound with no significant abnormalities
 Exclusion criteria for pregnant women
Pregnant women who meet any exclusion criteria at baseline will be excluded from the study.
1. Multiple pregnancies
2. Serious obstetrical risk:
- incompetent cervix 
- known placenta previa
- preeclampsia not responding to state of the art treatment
- thyroid diseases not responding to state of the art treatment
- gestational hypertension not responding to state of the art treatment
- diabetes gravidarum 
- grand multiparae (&gt;5 pregnancies and deliveries)
- history of PPROM or preterm deliveries &lt;37 weeks
- history of early onset preeclampsia (less than 34 weeks) in previous pregnancies
- repeated (more than three) lost pregnancies 
- serious congenital defects in previous children or pregnancies
- any medical condition that shows a risk according to the MD in charge
3. Serious underlying medical condition (e.g., immunosuppressive disease or therapy, human immunodeficiency virus (HIV) infection, collagen vascular disease, diabetes mellitus, chronic hypertension, moderate to severe asthma, lung/heart disease, liver/kidney disease, chronic or recurrent infections, primary immune deficiencies)
4. Significant mental illness (e.g. schizophrenia, psychosis, major depression)
5. History of a febrile illness (greater than or equal to 38° Celsius) within the past 72 hours before injection. Vaccination can be postponed to a later moment if this is the only exclusion criterion
6. Previous severe reaction to any vaccine
7. Receipt of tetanus-diphtheria toxoid immunization within the past 1 month (except for the control group)
8. Receipt of an pertussis containing vaccine (Tdap) immunization in the last 5 years
9. Receipt of a vaccine, blood product (excluding Rhogam) within the 4 weeks prior to injection through 4 weeks following injection and IVIG within 12 weeks period. One month interval should be respected with another vaccine (except influenza) in order to evaluate eventual Adverse events following one of both vaccines (fever, local symptoms)
10. Receipt of an experimental drug during pregnancy
11. Anything in the opinion of the investigator that would prevent women from completing the study or put the woman at risk
"</t>
  </si>
  <si>
    <t>follow-up telephone calls on day 2 and again on day 7 post-vaccination to record adverse events. 
Participants were encouraged to report possible AE anytime thereafter.</t>
  </si>
  <si>
    <t>NCT02408926</t>
  </si>
  <si>
    <t>This study was supported by:
The Thrasher Research Fund Award no. EWAT 12348, The
Thailand Research Fund (IRG5780015), the Research Chair Grant
from NSTDA, the Center of Excellence in Clinical Virology (GCE
58-014-30-004), and the Department of Pediatrics, Faculty of
Medicine, Chulalongkorn University.</t>
  </si>
  <si>
    <t>370 pregnant women</t>
  </si>
  <si>
    <t>mean 28.9 years (SD 5.5)</t>
  </si>
  <si>
    <t>30.7 wks (SD 2.3)</t>
  </si>
  <si>
    <t>HIV: 0
chronic hypertension: 0*</t>
  </si>
  <si>
    <t>tetanus*</t>
  </si>
  <si>
    <t>pregnant women of Thai citizenship who were offered vaccination with Tdap vaccine administered between 26 and 36 weeks of gestation according to the US Advisory Committee on Immunization Practices (ACIP) recommendation
Each 0.5 mL dose of the Tdap vaccine (Boostrix, GlaxoSmithKline Biologicals, Rixensart, Belgium) contained 2.5 Lf of diphtheria toxoid (DT), 5 Lf of tetanus toxoid (TT), 8 mg of inactivated pertussis toxin (PT), 8 mg of formaldehyde-treated filamentous hemagglutinin (FHA) and 2.5 mg of formaldehyde-treated pertactin (PRN) adjuvanted with aluminium hydroxide.</t>
  </si>
  <si>
    <t>26 and 36 wks</t>
  </si>
  <si>
    <t>Calvert 2023</t>
  </si>
  <si>
    <t>Other (Vaccine type: inactivated poliovirus vaccine containing pertussis toxin)</t>
  </si>
  <si>
    <t>Boostrix-IPV (GlaxoSmithKline)</t>
  </si>
  <si>
    <t>UK sites: St George’s University Hospitals UK NHS Foundation Trust, Kingston Hospital NHS Foundation Trust, University Hospital Southampton NHS Foundation Trust, Oxford University Hospitals NHS Foundation Trust, University Hospitals Bristol NHS Foundation Trust, and Manchester University NHS Foundation Trust</t>
  </si>
  <si>
    <t>05/2019 - 02/2020</t>
  </si>
  <si>
    <t>Preterm delivery;
Fever</t>
  </si>
  <si>
    <t>Inclusion: Pregnant women recruited before 23 weeks + 6 days gestation; age ≥16 years; singleton pregnancy; no pertussis vaccination in current pregnancy; willing/able to consent; routine 20-week anomaly scan with no life-limiting congenital abnormalities; able to complete follow-up. Exclusion: Age &lt;16 years; suspected/confirmed pertussis infection in previous 5 years; immunodeficiency or immunosuppressive therapy within 6 months; investigator judged unlikely to complete follow-up.</t>
  </si>
  <si>
    <t>Mother from vaccination to delivery
infant at 6 months</t>
  </si>
  <si>
    <t>NCT03908164</t>
  </si>
  <si>
    <t>The Thrasher Research Fund and the National Immunisation Schedule Evaluation Consortium through the
National Institute for Health and Care Research policy research programme.</t>
  </si>
  <si>
    <t>351 pregnant women*</t>
  </si>
  <si>
    <t>Tdap (≤23 weeks + 6 days)</t>
  </si>
  <si>
    <t>119 pregnant women</t>
  </si>
  <si>
    <t>median 33 yrs (range 18-43)</t>
  </si>
  <si>
    <t>21 + 3 wks (range 19 + 0 to 23 + 6)</t>
  </si>
  <si>
    <t>Maternal BMI: median 24.1 kg/m2 (range 16.9-41.8)</t>
  </si>
  <si>
    <t>Previous deliveries
0: 73 (61%)        
1: 39 (33%)        
 2: 7 (6%)
 3: 0
 ≥4: 0</t>
  </si>
  <si>
    <t>Participants will receive a pertussis containing vaccine licensed for use in pregnancy before 23+6 gestational weeks (GW). Although the time period for study group 1 is ≤23+6 no pertussis vaccine will be given in this study at less than 16 GW.</t>
  </si>
  <si>
    <t>≤23+6 no pertussis vaccine will be given in this study at less than 16 GW</t>
  </si>
  <si>
    <t>Tdap (24–27 weeks + 6 days)</t>
  </si>
  <si>
    <t>median 33 yrs (range 22-47)</t>
  </si>
  <si>
    <t>25 + 3 wks ( range 24 + 0 to 27 + 6)</t>
  </si>
  <si>
    <t>Maternal BMI: median 24 kg/m2 (range 16.0-42.0)</t>
  </si>
  <si>
    <t>Previous deliveries
0: 76 (64%)        
1: 32 (27%)        
 2: 8 (7%)
 3: 0
 ≥4: 3 (3%)</t>
  </si>
  <si>
    <t>Participants will receive a pertussis containing vaccine licensed for use in pregnancy between 24 and 27+6 gestational weeks.</t>
  </si>
  <si>
    <t>24-27+6 gestational weeks</t>
  </si>
  <si>
    <t>Tdap (28–31 weeks + 6 days)</t>
  </si>
  <si>
    <t>113 pregnant women</t>
  </si>
  <si>
    <t>median 33 yrs (range 19-43)</t>
  </si>
  <si>
    <t>28 + 5 wks ( range 28 + 0 to 31 + 5)</t>
  </si>
  <si>
    <t>Maternal BMI: median 24 kg/m2 (range 18.0-57.0)</t>
  </si>
  <si>
    <t>Previous deliveries
0: 67 (59%)        
1: 34 (30%)        
 2: 8 (7%)
 3: 3 (3%)
 ≥4: 1 (&lt;1%)</t>
  </si>
  <si>
    <t>Participants will receive a pertussis containing vaccine licensed for use in pregnancy between 28 and 31+6 gestational weeks.</t>
  </si>
  <si>
    <t>28-31+6 gestational weeks</t>
  </si>
  <si>
    <t>Fan 2026</t>
  </si>
  <si>
    <t>Adacel, Boostrix, Unknown</t>
  </si>
  <si>
    <t>U.S. Vaccine Adverse Event Reporting System (VAERS)</t>
  </si>
  <si>
    <t>06/2005-12/2024</t>
  </si>
  <si>
    <t>General disorders and administration site conditions, PPP Conditions (stillbirth, premature delivery, foetal disorder, Infections and infestations, Foetal Hypokinesia, Musculoskeletal and connective tissue disorders, Gestational Diabetes, Premature Rupture Of Membranes, Foetal Heart Rate Abnormal, Premature Separation Of Placenta, Nervous system disorders, Pre-Eclampsia, Vaginal Haemorrhage, Blood and lymphatic system disorders, Oligohydramnios, Gestational Hypertension)</t>
  </si>
  <si>
    <t>A systematic query of the VAERS database was performed to identify reports involving pregnant individuals administered Tdap vaccine alone within the United States
Reports fulfilling one or more predefined criteria were included in the final analytical cohort, with rigorous exclusion of non-U.S. submissions and duplicate records through standardized deduplication protocols.*</t>
  </si>
  <si>
    <t>This work was supported by a grant from the Zhejiang Provincial Medical Science and Technology Plan Project (2025KY1707).</t>
  </si>
  <si>
    <t>870 pregnancies</t>
  </si>
  <si>
    <t>median 30 yr (range: 15, 49)</t>
  </si>
  <si>
    <t>First (0–13 wk): 60
Second (14–27 wk): 81
Third (≥28 wk): 520</t>
  </si>
  <si>
    <t>pregnant women reports identified from VAERS who got maternal Tdap (Adacel, Boostrix. unknown) vaccination alone</t>
  </si>
  <si>
    <t>Sukumaran 2018</t>
  </si>
  <si>
    <t>5 Vaccine Safety Datalink (VSD) in US: Kaiser Permanente Northern California (Oakland, CA), Kaiser Permanente Southern California (Pasadena, CA), Kaiser Permanente Colorado (Denver, CO), Marshfield Clinic Research Foundation (Marshfield, WI), and Kaiser Permanente Northwest (Portland, OR).</t>
  </si>
  <si>
    <t>01/2004 - 06/2014</t>
  </si>
  <si>
    <t>infant all-cause hospitalization, respiratory hospitalization, mortality/death</t>
  </si>
  <si>
    <t>"We included women from the VSD with pregnancies ending in a live birth between January 1, 2004, and June 30, 2014. We required pregnant women to be enrolled at a VSD site for the duration of the pregnancy episode and to have at least 1 prenatal care visit. To increase completeness of data, infants of these pregnant women were required to have a birth record and to have VSD site enrollment until 6 months of life or until the time of death. We excluded pregnancies in which a live vaccine was administered because live vaccines are contraindicated in pregnancy. We also excluded infants of multiple gestation pregnancies, infants born before 34 weeks’ gestation, and infants with major birth defects because these infants are at a higher risk of hospitalization and death. Furthermore, we excluded all infants who died during their delivery hospitalization because cause of death in these infants is often a perinatal complication (such as placental abruption) that would likely be unrelated to maternal vaccination. Additionally, infants who die during the birth hospitalization may be less likely to be enrolled in the VSD and captured in our data. We also excluded infants with external causes of death (International Classification of Diseases, 10th Revision [ICD-10] codes S00-T98 and V00-Y98) and infants with external causes of hospitalizations (International Classification of Diseases, Ninth Revision [ICD-9] codes 800-999, E800-E999) due to injury and poisonings because these are unlikely to result from a maternal vaccination. ICD-10 coding was not available for hospitalization diagnoses in the United States during the time of this study."</t>
  </si>
  <si>
    <t>infants with hospitalizations or deaths within the first 6 months of life were
included in this analysis.</t>
  </si>
  <si>
    <t>Supported by the Centers for Disease Control and Prevention, and no external funding was secured. The Vaccine Safety Datalink Project is funded by the Centers for Disease Control and Prevention.</t>
  </si>
  <si>
    <t>413,034 infants</t>
  </si>
  <si>
    <t>maternal vaccination with any
influenza and/or Tdap vaccines
during pregnancy. A vaccine during
pregnancy was defined as one given
from 7 days after the pregnancy start
date to 7 days before the pregnancy
end date.</t>
  </si>
  <si>
    <t>did not get tdap</t>
  </si>
  <si>
    <t>PERTUSSIS INFECTION: Infants</t>
  </si>
  <si>
    <t>Notes</t>
  </si>
  <si>
    <t>COMPLICATIONS: Severe Complications of Pertussis Infection in Infants</t>
  </si>
  <si>
    <t>DEATH: Mortality Attributed to Pertussis Infection in Infants</t>
  </si>
  <si>
    <t>PERTUSSIS ANTIBODIES: Maternal Blood at Birth</t>
  </si>
  <si>
    <t>PERTUSSIS ANTIBODIES: Breast Milk</t>
  </si>
  <si>
    <t>PERTUSSIS ANTIBODIES: Infant Cord Blood at Birth</t>
  </si>
  <si>
    <t>PERTUSSIS ANTIBODIES: Infant Blood at 2mo (before any primary vax)</t>
  </si>
  <si>
    <t>PERTUSSIS ANTIBODIES: Infant Blood at 5mo (after primary vax)</t>
  </si>
  <si>
    <t>n</t>
  </si>
  <si>
    <t>Number of infections</t>
  </si>
  <si>
    <t>Study definition of infection</t>
  </si>
  <si>
    <t>Number of events</t>
  </si>
  <si>
    <t>Study definition of event</t>
  </si>
  <si>
    <t>Geometric mean concentration in IU/ml (95% CI)</t>
  </si>
  <si>
    <t>Ratio of geometric means (95% CI)</t>
  </si>
  <si>
    <t>PCR-lab confirmed cases.</t>
  </si>
  <si>
    <r>
      <rPr>
        <b/>
        <sz val="10"/>
        <color theme="1"/>
        <rFont val="Arial"/>
        <family val="2"/>
      </rPr>
      <t xml:space="preserve">aVE: </t>
    </r>
    <r>
      <rPr>
        <sz val="10"/>
        <color theme="1"/>
        <rFont val="Arial"/>
        <family val="2"/>
      </rPr>
      <t xml:space="preserve">90.9% (95% CI: 56.6 to 98.1)
</t>
    </r>
    <r>
      <rPr>
        <b/>
        <sz val="10"/>
        <color theme="1"/>
        <rFont val="Arial"/>
        <family val="2"/>
      </rPr>
      <t xml:space="preserve">aOR: </t>
    </r>
    <r>
      <rPr>
        <sz val="10"/>
        <color theme="1"/>
        <rFont val="Arial"/>
        <family val="2"/>
      </rPr>
      <t>0.091 (95% CI: 0.019 to 0.434)
adjusted for level of education and presence of children under 15 years-old in the home.</t>
    </r>
  </si>
  <si>
    <t>Characteristics of participants: "Of 22 cases, 18 were hospitalised"</t>
  </si>
  <si>
    <t>Laboratory testing for B. pertussis was done by single real-time PCR; Test-negative controls had acute respiratory illness, were admitted to the isolation ward to rule out pertussis (suspected pertussis due to suggestive symptoms or signs e.g. apnoea, facial congestion, whoop or paroxysmal cough) and were negative for pertussis testing.</t>
  </si>
  <si>
    <t>Table 2. Only extracted data from infants w/out DaPT</t>
  </si>
  <si>
    <t>ICU admission</t>
  </si>
  <si>
    <t>Unadjusted OR: 0.024 (95% CI 0.001–0.555)
VE (%): 97.62 (95% CI 53.25-99.88)</t>
  </si>
  <si>
    <t>Unadjusted OR: 0.281 (95% CI 0.011-6.879)
VE (%): 71.9 (95% CI 0.0-98.64)</t>
  </si>
  <si>
    <t>Positive for B pertussis deoxyribonucleic acid (DNA) by multitarget quantitative PCR (qPCR) at INS-Peru. The multi-target qPCR method was developed by Tatti et al [28] and combines a Singleplex assay targeting pertussis toxin subunit S1 (ptxS1) and a multiplex assay based on the insertion sequences IS481, pIS1001, and hIS1001 for the detection and differentiation of B pertussis, Bordetella parapertussis, and Bordetella holmesii.</t>
  </si>
  <si>
    <r>
      <rPr>
        <sz val="10"/>
        <color theme="1"/>
        <rFont val="Arial"/>
        <family val="2"/>
      </rPr>
      <t xml:space="preserve">Table 3 shows the crude and adjusted models used to predict the ORs of associations between each independent factor and pertussis.
Maternal Tdap Vaccination During Pregnancy (Unvaccinated vs Vaccinated)
</t>
    </r>
    <r>
      <rPr>
        <b/>
        <sz val="10"/>
        <color theme="1"/>
        <rFont val="Arial"/>
        <family val="2"/>
      </rPr>
      <t>OR:</t>
    </r>
    <r>
      <rPr>
        <sz val="10"/>
        <color theme="1"/>
        <rFont val="Arial"/>
        <family val="2"/>
      </rPr>
      <t xml:space="preserve"> 0.21 (95% CI 0.05–0.91)
</t>
    </r>
    <r>
      <rPr>
        <b/>
        <sz val="10"/>
        <color theme="1"/>
        <rFont val="Arial"/>
        <family val="2"/>
      </rPr>
      <t xml:space="preserve">aOR: </t>
    </r>
    <r>
      <rPr>
        <sz val="10"/>
        <color theme="1"/>
        <rFont val="Arial"/>
        <family val="2"/>
      </rPr>
      <t xml:space="preserve">0.19 (95% CI: 0.04–0.86, P = 0.031)
adjusted for sex, infant age, geographic region, and mother’s age at delivery.
</t>
    </r>
    <r>
      <rPr>
        <b/>
        <sz val="10"/>
        <color theme="1"/>
        <rFont val="Arial"/>
        <family val="2"/>
      </rPr>
      <t xml:space="preserve">VE: </t>
    </r>
    <r>
      <rPr>
        <sz val="10"/>
        <color theme="1"/>
        <rFont val="Arial"/>
        <family val="2"/>
      </rPr>
      <t>81% (95% CI: 14%–96%)</t>
    </r>
  </si>
  <si>
    <t>Np Tdap</t>
  </si>
  <si>
    <t>Total: 923.0(876.5–972.9) 
Anti-Bp 944.5(718.1–1242.0)
Anti-PT: 59.6 IU/mL ( 95% CI 42.5–83.5)
Anti-FHA: 339.2 IU/mL ( 95% CI 250.8–458.6)
Anti-PRN: 257.5 IU/mL ( 95% CI 153.8–431.2)</t>
  </si>
  <si>
    <t>Case Group, Tdap vaccination during pregnancy; Control group, no Tdap vaccination during pregnancy; Bp, Bordetella pertussis; PT, pertussis toxin; FHA, ﬁlamentous hemaglutinin; PRN, pertactin; mg/dL, milligram/ deciliter; AU/ mL, Arbitrary Unit/Milliliter; IU/mL, International Unit/Milliliter.</t>
  </si>
  <si>
    <t>Total mg/mL 50.9(41.2-62.8)
Anti-B. pertussis: 4299.0 AU/mL (3338.0–5537.0)
anti-PT: 118.1 IU/mL ( 95% CI 88.7–157.2)</t>
  </si>
  <si>
    <t>maternal colostrum
Anti-B. pertussis: 4299.0 AU/mL (3338.0–5537.0)</t>
  </si>
  <si>
    <t>Total 1045.0(987.7–1106.0)
Bp 838.2(630.8–1114.0)
Anti-PT: 55.0 IU/mL ( 95% CI 39.3–77.1)
Anti-FHA: 329.6IU/mL ( 95% CI 251.1–432.8)
Anti-PRN: 225.9 IU/mL ( 95% CI 137.3–371.8)</t>
  </si>
  <si>
    <t>Total: 1075.0(1034.0–1118.0) 
Anti-Bp 239.4(204.9–279.7) 
Anti-PT: 4.7 IU/mL ( 95% CI 3.4–6.6)
Anti-FHA: 23.7 IU/mL ( 95% CI 18.7–30.1)
Anti-PRN: 7.5 IU/mL ( 95% CI 5.4–10.5)</t>
  </si>
  <si>
    <t xml:space="preserve">Total mg/mL: 62.8(56.3-70.0)
Anti Bp AU/mL:  6238.0(5185.0-7505.0)
anti-PT:  143.2 IU/mL ( 95% CI 120.3–170.3)
</t>
  </si>
  <si>
    <t>Total 1188.0(1150.0–1228.0)
Bp 257.8(220.2–301.7)
Anti-PT: 6.2 IU/mL ( 95% CI 4.5–8.7)
Anti-FHA: 32.1 IU/mL ( 95% CI 25.3–40.6)
Anti-PRN: 8.9 IU/mL ( 95% CI 6.3–12.7)</t>
  </si>
  <si>
    <t>A case of pertussis was defined as clinically compatible cough illness (2 weeks of paroxysmal cough, inspiratory gasp, and/or post-tussive vomiting) in an infant aged &lt;8 weeks at disease onset, born between February 1st 2015 and May 31th 2016, with laboratory confirmation (culture or real time polymerase chain reaction) of pertussis.</t>
  </si>
  <si>
    <t xml:space="preserve">Unadjusted VE: 82.6% (95% CI, 60.8%–92.3%). 
Adjusted VE: 80.7% (95% CI, 55.9%–91.6%)*
 "The VE was unchanged after adjusting for maternal age and monthly household income."
* Adjusted for maternal age (OR = 0.97; 95% CI = 0.92–1.02) and household income (OR = 0.38; 95% CI = 0.18–0.82)
ASIDE
The unadjusted OR for vaccination in pregnancy was OR =  0.17 (95% CI, 0.08–0.39).
</t>
  </si>
  <si>
    <t>52*</t>
  </si>
  <si>
    <r>
      <rPr>
        <b/>
        <sz val="10"/>
        <color theme="1"/>
        <rFont val="Arial"/>
        <family val="2"/>
      </rPr>
      <t>PT:</t>
    </r>
    <r>
      <rPr>
        <sz val="10"/>
        <color theme="1"/>
        <rFont val="Arial"/>
        <family val="2"/>
      </rPr>
      <t xml:space="preserve"> 17.3 IU/mL ( 95% CI 13–22)
</t>
    </r>
    <r>
      <rPr>
        <b/>
        <sz val="10"/>
        <color theme="1"/>
        <rFont val="Arial"/>
        <family val="2"/>
      </rPr>
      <t xml:space="preserve">FHA: </t>
    </r>
    <r>
      <rPr>
        <sz val="10"/>
        <color theme="1"/>
        <rFont val="Arial"/>
        <family val="2"/>
      </rPr>
      <t xml:space="preserve">139 IU/mL ( 95% CI 109–176)
</t>
    </r>
    <r>
      <rPr>
        <b/>
        <sz val="10"/>
        <color theme="1"/>
        <rFont val="Arial"/>
        <family val="2"/>
      </rPr>
      <t>PRN:</t>
    </r>
    <r>
      <rPr>
        <sz val="10"/>
        <color theme="1"/>
        <rFont val="Arial"/>
        <family val="2"/>
      </rPr>
      <t xml:space="preserve"> 111 IU/mL ( 95% CI 76–163)</t>
    </r>
  </si>
  <si>
    <t>*N= 49 (51 for
anti-PT)</t>
  </si>
  <si>
    <r>
      <rPr>
        <b/>
        <sz val="10"/>
        <color theme="1"/>
        <rFont val="Arial"/>
        <family val="2"/>
      </rPr>
      <t>PT:</t>
    </r>
    <r>
      <rPr>
        <sz val="10"/>
        <color theme="1"/>
        <rFont val="Arial"/>
        <family val="2"/>
      </rPr>
      <t xml:space="preserve"> 21 IU/mL ( 95% CI 13–22)
</t>
    </r>
    <r>
      <rPr>
        <b/>
        <sz val="10"/>
        <color theme="1"/>
        <rFont val="Arial"/>
        <family val="2"/>
      </rPr>
      <t>FHA: 93</t>
    </r>
    <r>
      <rPr>
        <sz val="10"/>
        <color theme="1"/>
        <rFont val="Arial"/>
        <family val="2"/>
      </rPr>
      <t xml:space="preserve"> IU/mL ( 95% CI 109–176)
</t>
    </r>
    <r>
      <rPr>
        <b/>
        <sz val="10"/>
        <color theme="1"/>
        <rFont val="Arial"/>
        <family val="2"/>
      </rPr>
      <t>PRN:</t>
    </r>
    <r>
      <rPr>
        <sz val="10"/>
        <color theme="1"/>
        <rFont val="Arial"/>
        <family val="2"/>
      </rPr>
      <t xml:space="preserve"> 124 IU/mL ( 95% CI 76–163)</t>
    </r>
  </si>
  <si>
    <t>*N=49 (50 for
anti-PT)</t>
  </si>
  <si>
    <r>
      <rPr>
        <b/>
        <sz val="10"/>
        <color theme="1"/>
        <rFont val="Arial"/>
        <family val="2"/>
      </rPr>
      <t>PT:</t>
    </r>
    <r>
      <rPr>
        <sz val="10"/>
        <color theme="1"/>
        <rFont val="Arial"/>
        <family val="2"/>
      </rPr>
      <t xml:space="preserve"> 4.2 IU/mL ( 95% CI 2.9–5.9)
</t>
    </r>
    <r>
      <rPr>
        <b/>
        <sz val="10"/>
        <color theme="1"/>
        <rFont val="Arial"/>
        <family val="2"/>
      </rPr>
      <t>FHA:</t>
    </r>
    <r>
      <rPr>
        <sz val="10"/>
        <color theme="1"/>
        <rFont val="Arial"/>
        <family val="2"/>
      </rPr>
      <t xml:space="preserve"> 59 IU/mL ( 95% CI 48–73)
</t>
    </r>
    <r>
      <rPr>
        <b/>
        <sz val="10"/>
        <color theme="1"/>
        <rFont val="Arial"/>
        <family val="2"/>
      </rPr>
      <t>PRN:</t>
    </r>
    <r>
      <rPr>
        <sz val="10"/>
        <color theme="1"/>
        <rFont val="Arial"/>
        <family val="2"/>
      </rPr>
      <t xml:space="preserve"> 46 IU/mL ( 95% CI 32–66)</t>
    </r>
  </si>
  <si>
    <r>
      <rPr>
        <b/>
        <sz val="10"/>
        <color theme="1"/>
        <rFont val="Arial"/>
        <family val="2"/>
      </rPr>
      <t>PT:</t>
    </r>
    <r>
      <rPr>
        <sz val="10"/>
        <color theme="1"/>
        <rFont val="Arial"/>
        <family val="2"/>
      </rPr>
      <t xml:space="preserve"> 70 IU/mL ( 95% CI 13–22)
</t>
    </r>
    <r>
      <rPr>
        <b/>
        <sz val="10"/>
        <color theme="1"/>
        <rFont val="Arial"/>
        <family val="2"/>
      </rPr>
      <t>FHA:</t>
    </r>
    <r>
      <rPr>
        <sz val="10"/>
        <color theme="1"/>
        <rFont val="Arial"/>
        <family val="2"/>
      </rPr>
      <t xml:space="preserve"> 77 IU/mL ( 95% CI 109–176)
</t>
    </r>
    <r>
      <rPr>
        <b/>
        <sz val="10"/>
        <color theme="1"/>
        <rFont val="Arial"/>
        <family val="2"/>
      </rPr>
      <t>PRN:</t>
    </r>
    <r>
      <rPr>
        <sz val="10"/>
        <color theme="1"/>
        <rFont val="Arial"/>
        <family val="2"/>
      </rPr>
      <t xml:space="preserve"> 83 IU/mL ( 95% CI 76–163)</t>
    </r>
  </si>
  <si>
    <t>1 month after primary vax</t>
  </si>
  <si>
    <t>51*</t>
  </si>
  <si>
    <r>
      <rPr>
        <b/>
        <sz val="10"/>
        <color theme="1"/>
        <rFont val="Arial"/>
        <family val="2"/>
      </rPr>
      <t>PT:</t>
    </r>
    <r>
      <rPr>
        <sz val="10"/>
        <color theme="1"/>
        <rFont val="Arial"/>
        <family val="2"/>
      </rPr>
      <t xml:space="preserve"> 5.7 IU/mL ( 95% CI 4.3–7.6)
</t>
    </r>
    <r>
      <rPr>
        <b/>
        <sz val="10"/>
        <color theme="1"/>
        <rFont val="Arial"/>
        <family val="2"/>
      </rPr>
      <t>FHA:</t>
    </r>
    <r>
      <rPr>
        <sz val="10"/>
        <color theme="1"/>
        <rFont val="Arial"/>
        <family val="2"/>
      </rPr>
      <t xml:space="preserve"> 17.3 IU/mL ( 95% CI 14–21.4)
</t>
    </r>
    <r>
      <rPr>
        <b/>
        <sz val="10"/>
        <color theme="1"/>
        <rFont val="Arial"/>
        <family val="2"/>
      </rPr>
      <t xml:space="preserve">PRN: </t>
    </r>
    <r>
      <rPr>
        <sz val="10"/>
        <color theme="1"/>
        <rFont val="Arial"/>
        <family val="2"/>
      </rPr>
      <t>9.4 IU/mL ( 95% CI 6.9–12.5)</t>
    </r>
  </si>
  <si>
    <t>*N= 47 (48 for
anti-PRN)</t>
  </si>
  <si>
    <r>
      <rPr>
        <b/>
        <sz val="10"/>
        <color theme="1"/>
        <rFont val="Arial"/>
        <family val="2"/>
      </rPr>
      <t>PT:</t>
    </r>
    <r>
      <rPr>
        <sz val="10"/>
        <color theme="1"/>
        <rFont val="Arial"/>
        <family val="2"/>
      </rPr>
      <t xml:space="preserve"> 7.2 IU/mL ( 95% CI 5.6–9.4)
</t>
    </r>
    <r>
      <rPr>
        <b/>
        <sz val="10"/>
        <color theme="1"/>
        <rFont val="Arial"/>
        <family val="2"/>
      </rPr>
      <t>FHA:</t>
    </r>
    <r>
      <rPr>
        <sz val="10"/>
        <color theme="1"/>
        <rFont val="Arial"/>
        <family val="2"/>
      </rPr>
      <t xml:space="preserve"> 27.6 IU/mL ( 95% CI 20.9–36.7)
</t>
    </r>
    <r>
      <rPr>
        <b/>
        <sz val="10"/>
        <color theme="1"/>
        <rFont val="Arial"/>
        <family val="2"/>
      </rPr>
      <t>PRN:</t>
    </r>
    <r>
      <rPr>
        <sz val="10"/>
        <color theme="1"/>
        <rFont val="Arial"/>
        <family val="2"/>
      </rPr>
      <t xml:space="preserve"> 13.9 IU/mL ( 95% CI 10.5–18.2)</t>
    </r>
  </si>
  <si>
    <t>*N=47 (46 for
anti-FHA)</t>
  </si>
  <si>
    <r>
      <rPr>
        <b/>
        <sz val="10"/>
        <color theme="1"/>
        <rFont val="Arial"/>
        <family val="2"/>
      </rPr>
      <t>PT:</t>
    </r>
    <r>
      <rPr>
        <sz val="10"/>
        <color theme="1"/>
        <rFont val="Arial"/>
        <family val="2"/>
      </rPr>
      <t xml:space="preserve"> 0.8 IU/mL ( 95% CI 0.5–1.3)
</t>
    </r>
    <r>
      <rPr>
        <b/>
        <sz val="10"/>
        <color theme="1"/>
        <rFont val="Arial"/>
        <family val="2"/>
      </rPr>
      <t>FHA:</t>
    </r>
    <r>
      <rPr>
        <sz val="10"/>
        <color theme="1"/>
        <rFont val="Arial"/>
        <family val="2"/>
      </rPr>
      <t xml:space="preserve"> 23.1 IU/mL ( 95% CI 19.7–27)
</t>
    </r>
    <r>
      <rPr>
        <b/>
        <sz val="10"/>
        <color theme="1"/>
        <rFont val="Arial"/>
        <family val="2"/>
      </rPr>
      <t>PRN:</t>
    </r>
    <r>
      <rPr>
        <sz val="10"/>
        <color theme="1"/>
        <rFont val="Arial"/>
        <family val="2"/>
      </rPr>
      <t xml:space="preserve"> 7.8 IU/mL ( 95% CI 6.6–9.4)</t>
    </r>
  </si>
  <si>
    <r>
      <rPr>
        <b/>
        <sz val="10"/>
        <color theme="1"/>
        <rFont val="Arial"/>
        <family val="2"/>
      </rPr>
      <t>PT:</t>
    </r>
    <r>
      <rPr>
        <sz val="10"/>
        <color theme="1"/>
        <rFont val="Arial"/>
        <family val="2"/>
      </rPr>
      <t xml:space="preserve"> 67 IU/mL ( 95% CI 53–84)
</t>
    </r>
    <r>
      <rPr>
        <b/>
        <sz val="10"/>
        <color theme="1"/>
        <rFont val="Arial"/>
        <family val="2"/>
      </rPr>
      <t>FHA:</t>
    </r>
    <r>
      <rPr>
        <sz val="10"/>
        <color theme="1"/>
        <rFont val="Arial"/>
        <family val="2"/>
      </rPr>
      <t xml:space="preserve"> 66.6 IU/mL ( 95% CI 56–78)
</t>
    </r>
    <r>
      <rPr>
        <b/>
        <sz val="10"/>
        <color theme="1"/>
        <rFont val="Arial"/>
        <family val="2"/>
      </rPr>
      <t>PRN:</t>
    </r>
    <r>
      <rPr>
        <sz val="10"/>
        <color theme="1"/>
        <rFont val="Arial"/>
        <family val="2"/>
      </rPr>
      <t xml:space="preserve"> 132.6 IU/mL ( 95% CI 104–168)</t>
    </r>
  </si>
  <si>
    <r>
      <rPr>
        <b/>
        <sz val="10"/>
        <color theme="1"/>
        <rFont val="Arial"/>
        <family val="2"/>
      </rPr>
      <t>PT:</t>
    </r>
    <r>
      <rPr>
        <sz val="10"/>
        <color theme="1"/>
        <rFont val="Arial"/>
        <family val="2"/>
      </rPr>
      <t xml:space="preserve"> 40.57 IU/mL ( 95% CI 33.41 - 49.26)
</t>
    </r>
    <r>
      <rPr>
        <b/>
        <sz val="10"/>
        <color theme="1"/>
        <rFont val="Arial"/>
        <family val="2"/>
      </rPr>
      <t xml:space="preserve">FHA: </t>
    </r>
    <r>
      <rPr>
        <sz val="10"/>
        <color theme="1"/>
        <rFont val="Arial"/>
        <family val="2"/>
      </rPr>
      <t xml:space="preserve">158.30 IU/mL ( 95% CI 134.63 - 186.14)
</t>
    </r>
    <r>
      <rPr>
        <b/>
        <sz val="10"/>
        <color theme="1"/>
        <rFont val="Arial"/>
        <family val="2"/>
      </rPr>
      <t>PRN:</t>
    </r>
    <r>
      <rPr>
        <sz val="10"/>
        <color theme="1"/>
        <rFont val="Arial"/>
        <family val="2"/>
      </rPr>
      <t xml:space="preserve"> 108.89 IU/mL ( 95% CI 81.13 - 140.84)
</t>
    </r>
    <r>
      <rPr>
        <b/>
        <sz val="10"/>
        <color theme="1"/>
        <rFont val="Arial"/>
        <family val="2"/>
      </rPr>
      <t>FIM</t>
    </r>
    <r>
      <rPr>
        <sz val="10"/>
        <color theme="1"/>
        <rFont val="Arial"/>
        <family val="2"/>
      </rPr>
      <t xml:space="preserve"> 8.33 IU/mL ( 95% CI 6.29 - 11.05)</t>
    </r>
  </si>
  <si>
    <r>
      <rPr>
        <b/>
        <sz val="10"/>
        <color theme="1"/>
        <rFont val="Arial"/>
        <family val="2"/>
      </rPr>
      <t>PT:</t>
    </r>
    <r>
      <rPr>
        <sz val="10"/>
        <color theme="1"/>
        <rFont val="Arial"/>
        <family val="2"/>
      </rPr>
      <t xml:space="preserve"> 62.97 IU/mL ( 95% CI 51.31 - 77.27)
</t>
    </r>
    <r>
      <rPr>
        <b/>
        <sz val="10"/>
        <color theme="1"/>
        <rFont val="Arial"/>
        <family val="2"/>
      </rPr>
      <t xml:space="preserve">FHA: </t>
    </r>
    <r>
      <rPr>
        <sz val="10"/>
        <color theme="1"/>
        <rFont val="Arial"/>
        <family val="2"/>
      </rPr>
      <t xml:space="preserve">260.10 IU/mL ( 95% CI 220.85 – 306.34)
</t>
    </r>
    <r>
      <rPr>
        <b/>
        <sz val="10"/>
        <color theme="1"/>
        <rFont val="Arial"/>
        <family val="2"/>
      </rPr>
      <t>PRN:</t>
    </r>
    <r>
      <rPr>
        <sz val="10"/>
        <color theme="1"/>
        <rFont val="Arial"/>
        <family val="2"/>
      </rPr>
      <t xml:space="preserve"> 165.08 IU/mL ( 95% CI 125.31 - 217.48)
</t>
    </r>
    <r>
      <rPr>
        <b/>
        <sz val="10"/>
        <color theme="1"/>
        <rFont val="Arial"/>
        <family val="2"/>
      </rPr>
      <t>FIM</t>
    </r>
    <r>
      <rPr>
        <sz val="10"/>
        <color theme="1"/>
        <rFont val="Arial"/>
        <family val="2"/>
      </rPr>
      <t xml:space="preserve"> 11.26 AU/mL ( 95% CI 8.45 - 15.02)</t>
    </r>
  </si>
  <si>
    <r>
      <rPr>
        <b/>
        <sz val="10"/>
        <color theme="1"/>
        <rFont val="Arial"/>
        <family val="2"/>
      </rPr>
      <t>PT:</t>
    </r>
    <r>
      <rPr>
        <sz val="10"/>
        <color theme="1"/>
        <rFont val="Arial"/>
        <family val="2"/>
      </rPr>
      <t xml:space="preserve"> 19.81 IU/mL ( 95% CI 16.21 - 24.22)
</t>
    </r>
    <r>
      <rPr>
        <b/>
        <sz val="10"/>
        <color theme="1"/>
        <rFont val="Arial"/>
        <family val="2"/>
      </rPr>
      <t>FHA:</t>
    </r>
    <r>
      <rPr>
        <sz val="10"/>
        <color theme="1"/>
        <rFont val="Arial"/>
        <family val="2"/>
      </rPr>
      <t xml:space="preserve"> 83.99 IU/mL ( 95% CI 71.15 - 99.15)
</t>
    </r>
    <r>
      <rPr>
        <b/>
        <sz val="10"/>
        <color theme="1"/>
        <rFont val="Arial"/>
        <family val="2"/>
      </rPr>
      <t>PRN:</t>
    </r>
    <r>
      <rPr>
        <sz val="10"/>
        <color theme="1"/>
        <rFont val="Arial"/>
        <family val="2"/>
      </rPr>
      <t xml:space="preserve"> 50.12 IU/mL ( 95% CI 38.43 - 65.36)
</t>
    </r>
    <r>
      <rPr>
        <b/>
        <sz val="10"/>
        <color theme="1"/>
        <rFont val="Arial"/>
        <family val="2"/>
      </rPr>
      <t>FIM</t>
    </r>
    <r>
      <rPr>
        <sz val="10"/>
        <color theme="1"/>
        <rFont val="Arial"/>
        <family val="2"/>
      </rPr>
      <t xml:space="preserve"> 4.05 AU/mL ( 95% CI 3.02 - 5.42)</t>
    </r>
  </si>
  <si>
    <r>
      <rPr>
        <b/>
        <sz val="10"/>
        <color theme="1"/>
        <rFont val="Arial"/>
        <family val="2"/>
      </rPr>
      <t>PT:</t>
    </r>
    <r>
      <rPr>
        <sz val="10"/>
        <color theme="1"/>
        <rFont val="Arial"/>
        <family val="2"/>
      </rPr>
      <t xml:space="preserve"> 3.29 IU/mL ( 95% CI 2.04 - 5.29)
</t>
    </r>
    <r>
      <rPr>
        <b/>
        <sz val="10"/>
        <color theme="1"/>
        <rFont val="Arial"/>
        <family val="2"/>
      </rPr>
      <t>FHA:</t>
    </r>
    <r>
      <rPr>
        <sz val="10"/>
        <color theme="1"/>
        <rFont val="Arial"/>
        <family val="2"/>
      </rPr>
      <t xml:space="preserve"> 7.61 IU/mL ( 95% CI 4.57 - 12.66)
</t>
    </r>
    <r>
      <rPr>
        <b/>
        <sz val="10"/>
        <color theme="1"/>
        <rFont val="Arial"/>
        <family val="2"/>
      </rPr>
      <t xml:space="preserve">PRN: </t>
    </r>
    <r>
      <rPr>
        <sz val="10"/>
        <color theme="1"/>
        <rFont val="Arial"/>
        <family val="2"/>
      </rPr>
      <t xml:space="preserve">4.73 IU/mL ( 95% CI 2.56 - 8.75)
</t>
    </r>
    <r>
      <rPr>
        <b/>
        <sz val="10"/>
        <color theme="1"/>
        <rFont val="Arial"/>
        <family val="2"/>
      </rPr>
      <t>FIM:</t>
    </r>
    <r>
      <rPr>
        <sz val="10"/>
        <color theme="1"/>
        <rFont val="Arial"/>
        <family val="2"/>
      </rPr>
      <t xml:space="preserve"> 4.46 IU/mL ( 95% CI 2.29 - 8.68)</t>
    </r>
  </si>
  <si>
    <r>
      <rPr>
        <b/>
        <sz val="10"/>
        <color theme="1"/>
        <rFont val="Arial"/>
        <family val="2"/>
      </rPr>
      <t>PT:</t>
    </r>
    <r>
      <rPr>
        <sz val="10"/>
        <color theme="1"/>
        <rFont val="Arial"/>
        <family val="2"/>
      </rPr>
      <t xml:space="preserve"> 4.92 IU/mL ( 95% CI 2.98 - 8.13)
</t>
    </r>
    <r>
      <rPr>
        <b/>
        <sz val="10"/>
        <color theme="1"/>
        <rFont val="Arial"/>
        <family val="2"/>
      </rPr>
      <t>FHA:</t>
    </r>
    <r>
      <rPr>
        <sz val="10"/>
        <color theme="1"/>
        <rFont val="Arial"/>
        <family val="2"/>
      </rPr>
      <t xml:space="preserve"> 12.56 IU/mL ( 95% CI 7.31 - 21.56)
</t>
    </r>
    <r>
      <rPr>
        <b/>
        <sz val="10"/>
        <color theme="1"/>
        <rFont val="Arial"/>
        <family val="2"/>
      </rPr>
      <t xml:space="preserve">PRN: </t>
    </r>
    <r>
      <rPr>
        <sz val="10"/>
        <color theme="1"/>
        <rFont val="Arial"/>
        <family val="2"/>
      </rPr>
      <t xml:space="preserve">6.22 IU/mL ( 95% CI 3.06 - 12.68)
</t>
    </r>
    <r>
      <rPr>
        <b/>
        <sz val="10"/>
        <color theme="1"/>
        <rFont val="Arial"/>
        <family val="2"/>
      </rPr>
      <t>FIM:</t>
    </r>
    <r>
      <rPr>
        <sz val="10"/>
        <color theme="1"/>
        <rFont val="Arial"/>
        <family val="2"/>
      </rPr>
      <t xml:space="preserve"> 6.53 AU/mL ( 95% CI 3.27 - 13.01)</t>
    </r>
  </si>
  <si>
    <r>
      <rPr>
        <b/>
        <sz val="10"/>
        <color theme="1"/>
        <rFont val="Arial"/>
        <family val="2"/>
      </rPr>
      <t>PT:</t>
    </r>
    <r>
      <rPr>
        <sz val="10"/>
        <color theme="1"/>
        <rFont val="Arial"/>
        <family val="2"/>
      </rPr>
      <t xml:space="preserve"> 1.44 IU/mL ( 95% CI 0.84 - 2.48)
</t>
    </r>
    <r>
      <rPr>
        <b/>
        <sz val="10"/>
        <color theme="1"/>
        <rFont val="Arial"/>
        <family val="2"/>
      </rPr>
      <t>FHA:</t>
    </r>
    <r>
      <rPr>
        <sz val="10"/>
        <color theme="1"/>
        <rFont val="Arial"/>
        <family val="2"/>
      </rPr>
      <t xml:space="preserve"> 4.00 IU/mL ( 95% CI 2.52 - 6.36)
</t>
    </r>
    <r>
      <rPr>
        <b/>
        <sz val="10"/>
        <color theme="1"/>
        <rFont val="Arial"/>
        <family val="2"/>
      </rPr>
      <t>PRN:</t>
    </r>
    <r>
      <rPr>
        <sz val="10"/>
        <color theme="1"/>
        <rFont val="Arial"/>
        <family val="2"/>
      </rPr>
      <t xml:space="preserve"> 1.71 IU/mL ( 95% CI 0.80 - 3.66)
</t>
    </r>
    <r>
      <rPr>
        <b/>
        <sz val="10"/>
        <color theme="1"/>
        <rFont val="Arial"/>
        <family val="2"/>
      </rPr>
      <t>FIM:</t>
    </r>
    <r>
      <rPr>
        <sz val="10"/>
        <color theme="1"/>
        <rFont val="Arial"/>
        <family val="2"/>
      </rPr>
      <t xml:space="preserve"> 1.22 AU/mL ( 95% CI 0.45 - 3.34)</t>
    </r>
  </si>
  <si>
    <t>PT: 61.8 (46.8-81.7) 
FHA: 163.4 (130.5-204.59) 
Prn: 286.0 (182.4-448.3)</t>
  </si>
  <si>
    <t>PT: 18.3 (11.7-28.7) 
FHA: 18.9 (13.0-27.6) 
Prn: 45.3 (25.6-80.0)</t>
  </si>
  <si>
    <t>PT: 125.1(94.0-166.3)
FHA: 330.9 (261.2-419.3)
Prn: 500.5 (322.5-776.7)</t>
  </si>
  <si>
    <t>PT: 22.2 (13.5-36.7) 
FHA: 21.2 (14.1-31.8) 
Prn: 44.0 (24.7-78.2)</t>
  </si>
  <si>
    <t>Appendix T3</t>
  </si>
  <si>
    <t>PT: 27.3 (20.1-37.1) 
FHA: 83.7 (67.4-103.9) 
Prn: 110.3 (71.6-170.0)</t>
  </si>
  <si>
    <t>PT: 15.7 (9.9-24.8) 
FHA: 16.9 (11.4-25.1) 
Prn: 31.1 (17.3-56.1)</t>
  </si>
  <si>
    <t>Appendix Table 3</t>
  </si>
  <si>
    <t>PT: 35.6 (28.1-45.0) 
FHA: 31.2 (25.8-37.8) 
Prn: 28.9 (21.9-38.0)</t>
  </si>
  <si>
    <t>PT: .4 (.3-.6) 
FHA: .4 (.3-.5) 
Prn: .5 (.3-.7)</t>
  </si>
  <si>
    <t>At 6 months. Infant vax @ 3mo.</t>
  </si>
  <si>
    <t>PT: 3.4 (2.4-4.9) 
FHA: 8.6 (6.3-11.8) 
Prn: 6.4 (4.4-9.1)</t>
  </si>
  <si>
    <t>Appendix table 4</t>
  </si>
  <si>
    <t xml:space="preserve">PT: 5.6 (3.7-8.6)
FHA: 15.6 (11.1-22.0)
Prn: 11.4 (7.7-16.9)
</t>
  </si>
  <si>
    <t>PT: 1.8 (1.2-2.5) 
FHA: 5.0 (3.5-7.0) 
Prn: 3.6 (2.3-5.4)</t>
  </si>
  <si>
    <t>PT: 83.0 (65.6-105.2) 
FHA: 82.6 (69.8-97.7) 
Prn: 61.9 (47.7-80.4)</t>
  </si>
  <si>
    <t>Children aged under six months diagnosed with a clinical syndrome compatible with pertussis infection with no history of exposure to a confirmed case or in the absence of etiological confirmation were included in the study.</t>
  </si>
  <si>
    <r>
      <rPr>
        <sz val="10"/>
        <color theme="1"/>
        <rFont val="Arial"/>
        <family val="2"/>
      </rPr>
      <t xml:space="preserve">Effectiveness of maternal pertussis vaccination (Tdap) in reducing pertussis-like illness.
</t>
    </r>
    <r>
      <rPr>
        <b/>
        <sz val="10"/>
        <color theme="1"/>
        <rFont val="Arial"/>
        <family val="2"/>
      </rPr>
      <t xml:space="preserve">VE (univariate): </t>
    </r>
    <r>
      <rPr>
        <sz val="10"/>
        <color theme="1"/>
        <rFont val="Arial"/>
        <family val="2"/>
      </rPr>
      <t xml:space="preserve">27% (95% CI −34%, 60%)
</t>
    </r>
    <r>
      <rPr>
        <b/>
        <sz val="10"/>
        <color theme="1"/>
        <rFont val="Arial"/>
        <family val="2"/>
      </rPr>
      <t>VE (multivariate):</t>
    </r>
    <r>
      <rPr>
        <sz val="10"/>
        <color theme="1"/>
        <rFont val="Arial"/>
        <family val="2"/>
      </rPr>
      <t xml:space="preserve"> 19% (95% CI −64%, 60%)
The multivariate model included maternal vaccination, exclusive breastfeeding and variables with p-value &lt;0,20 (type of delivery, sex of infant, gestational age at birth, infant vaccination and breastfeeding)</t>
    </r>
  </si>
  <si>
    <t>"Two infants were confirmed with pertussis by clinical and lab-
oratory criteria (incidence of 1.9 per 1000 infants). Their mothers
were vaccinated with Tdap, with titers lower than 100 IU/mL"</t>
  </si>
  <si>
    <t>median 48.10 -IQR 25.62–95.82, geometric
mean GMC 46.90</t>
  </si>
  <si>
    <t>The maternal antibody concentration was significantly higher
in the vaccinated (median 48.10 -IQR 25.62–95.82, geometric
mean GMC 46.90) in relation to the non-vaccinated samples (med-
ian 7.76 - IQR 2.97–19.95, GMC 7.69) p value = 0.000. The same
relationship was observed in umbilical cord samples (vaccinated:
median 59.41, interquartile range of IQR 28,90–114,22, -GMC
59.41 p value = 0.000). Non-vaccinated mothers had a median of
9.46, (IQR 3, 95–27.27, GMC 9.88). The difference in the median
of maternal and umbilical cord antibodies was statistically signifi-
cant (U Mann Whitney p = 0.000) (Fig. 2c–f).</t>
  </si>
  <si>
    <t xml:space="preserve">median 59.41, interquartile range of IQR 28,90–114,22, -GMC
59.41 </t>
  </si>
  <si>
    <t>The maternal antibody concentration was significantly higher
in the vaccinated (median 48.10 -IQR 25.62–95.82, geometric
mean GMC 46.90) in relation to the non-vaccinated samples (med-
ian 7.76 - IQR 2.97–19.95, GMC 7.69) p value = 0.000. The same
relationship was observed in umbilical cord samples (vaccinated:
median 59.41, interquartile range of IQR 28,90–114,22, -GMC
59.41 p value = 0.000). Non-vaccinated mothers had a median of
9.46, (IQR 3, 95–27.27, GMC 9.88). The difference in the median
of maternal and umbilical cord antibodies was statistically signifi-
cant (U Mann Whitney p = 0.000) (Fig. 2c–f).</t>
  </si>
  <si>
    <t>median 7.76 - IQR 2.97–19.95, GMC 7.69</t>
  </si>
  <si>
    <t>median of 9.46, (IQR 3, 95–27.27, GMC 9.88</t>
  </si>
  <si>
    <t>anti-PT: 62.5 (52.3-74.8)</t>
  </si>
  <si>
    <t>T1. Cord anti-PT IgG levels with different avidities of women vaccinated with Tdap during pregnancy and unvaccinated women.</t>
  </si>
  <si>
    <t>anti-PT: 21.4(16.6-27.6)</t>
  </si>
  <si>
    <t>anti-PT: 75.3 (61.2–92.9)</t>
  </si>
  <si>
    <t>T2. Cord anti-PT IgG levels with different avidities of women vaccinated with Tdap during early and late third trimester.</t>
  </si>
  <si>
    <t>anti-PT: 52.66 (39.9–69.6)</t>
  </si>
  <si>
    <t>36/37</t>
  </si>
  <si>
    <t>Laboratory-confirmed pertussis (culture or PCR)</t>
  </si>
  <si>
    <t>RR: 0.56 (95%CI 0.07–4.68)</t>
  </si>
  <si>
    <t>RR: 0.47 (95% CI 0.35–0.63)
OR*: 0.42 (95% CI 0.20–0.85)- Model 1: Risk of Hospitalization
*adjusting for the important covariates of infant’s chronological age, gestational age, and receipt of DTaP vaccine</t>
  </si>
  <si>
    <t>324/329</t>
  </si>
  <si>
    <r>
      <rPr>
        <b/>
        <u/>
        <sz val="10"/>
        <color theme="1"/>
        <rFont val="Arial"/>
        <family val="2"/>
      </rPr>
      <t xml:space="preserve">adjusted VE
</t>
    </r>
    <r>
      <rPr>
        <b/>
        <sz val="10"/>
        <color theme="1"/>
        <rFont val="Arial"/>
        <family val="2"/>
      </rPr>
      <t>- any point in pregnancy (n=49)</t>
    </r>
    <r>
      <rPr>
        <sz val="10"/>
        <color theme="1"/>
        <rFont val="Arial"/>
        <family val="2"/>
      </rPr>
      <t xml:space="preserve">: 58.3% (95% CI 14.9–79.6)
Calculations based on 420 (unadjusted) and 344 (adjusted) infants.
</t>
    </r>
    <r>
      <rPr>
        <b/>
        <sz val="10"/>
        <color theme="1"/>
        <rFont val="Arial"/>
        <family val="2"/>
      </rPr>
      <t>- 3rd timester (n=35):</t>
    </r>
    <r>
      <rPr>
        <sz val="10"/>
        <color theme="1"/>
        <rFont val="Arial"/>
        <family val="2"/>
      </rPr>
      <t xml:space="preserve"> 52.1% (95% −0.16 to 80.3)
Calculations based on 406 (unadjusted) and 330 (adjusted) infants.
Adjusted for infant’s chronological age, gestational age, and receipt of diphtheria and tetanus toxoids and acellular pertussis vaccine.</t>
    </r>
  </si>
  <si>
    <t>PT: 117.42 IU/mL  46.38 (SD)  ( 95% CI 100.11 - 134.74)</t>
  </si>
  <si>
    <t>PT: 27.18 IU/mL 21.98 SD ( 95% CI 23.77 - 30.59</t>
  </si>
  <si>
    <t>a</t>
  </si>
  <si>
    <t>Gestation Week at Tdap Immunization
GW27</t>
  </si>
  <si>
    <t>43.6 (20.4–93.2) [7.5–122]</t>
  </si>
  <si>
    <t>Geometric Mean Concentrations for Pertussis Toxin Antibody Concentration at Infant Birth</t>
  </si>
  <si>
    <t>10.9 (5.1, 23.3)</t>
  </si>
  <si>
    <r>
      <rPr>
        <b/>
        <sz val="10"/>
        <color theme="1"/>
        <rFont val="Arial"/>
        <family val="2"/>
      </rPr>
      <t xml:space="preserve">Estimated* </t>
    </r>
    <r>
      <rPr>
        <sz val="10"/>
        <color theme="1"/>
        <rFont val="Arial"/>
        <family val="2"/>
      </rPr>
      <t>Geometric Mean Concentrations for Pertussis Toxin Antibody Concentration at Age 2 months.
* - Pertussis toxin antibody concentrations estimated to be present in infants at age 2 months were calculated using published t 1/2of passively acquired maternal levels (36 days).</t>
    </r>
  </si>
  <si>
    <t>b</t>
  </si>
  <si>
    <t>GW28</t>
  </si>
  <si>
    <t>51.2 (34.2–76.7) [7.5–960]</t>
  </si>
  <si>
    <t>GMC (95% CI) [Range]</t>
  </si>
  <si>
    <t>12.8 (8.6, 19.2)</t>
  </si>
  <si>
    <t>c</t>
  </si>
  <si>
    <t>GW29</t>
  </si>
  <si>
    <t>54.9 (36.3–76.9) [7.5–404]</t>
  </si>
  <si>
    <t>13.7 (9.8, 19.2)</t>
  </si>
  <si>
    <t>d</t>
  </si>
  <si>
    <t>GW30</t>
  </si>
  <si>
    <t>57.3 (44.0–74.6) [7.5–424]</t>
  </si>
  <si>
    <t>14.3 (11.0, 18.6)</t>
  </si>
  <si>
    <t>e</t>
  </si>
  <si>
    <t>GW31</t>
  </si>
  <si>
    <t>48.1 (37.6–61.6) [7.5–960]</t>
  </si>
  <si>
    <t>12.0 (9.4, 15.4)</t>
  </si>
  <si>
    <t>f</t>
  </si>
  <si>
    <t>GW32</t>
  </si>
  <si>
    <t>42.5 (32.9–54.9) [7.5–433]</t>
  </si>
  <si>
    <t>10.6 (8.2, 13.7)</t>
  </si>
  <si>
    <t>g</t>
  </si>
  <si>
    <t>GW33</t>
  </si>
  <si>
    <t>40.1 (25.4–63.1) [7.5–191]</t>
  </si>
  <si>
    <t>10.0 (6.4, 15.8)</t>
  </si>
  <si>
    <t>h</t>
  </si>
  <si>
    <t>GW34</t>
  </si>
  <si>
    <t>33.6 (16.4–69.1) [7.5–277]</t>
  </si>
  <si>
    <t>8.4 (4.1, 17.3)</t>
  </si>
  <si>
    <t>i</t>
  </si>
  <si>
    <t>GW35</t>
  </si>
  <si>
    <t>20.9 (5.3–82.0) [7.5–106]</t>
  </si>
  <si>
    <t>5.2 (1.3, 20.5)</t>
  </si>
  <si>
    <t>j</t>
  </si>
  <si>
    <t>GW36</t>
  </si>
  <si>
    <t>39.3 (12.9–119.1) [7.5–155]</t>
  </si>
  <si>
    <t>9.8 (3.2, 29.8)</t>
  </si>
  <si>
    <t>12.9 (11.8–14.2) [7.5–960]</t>
  </si>
  <si>
    <t>3.2 (2.9, 3.5)</t>
  </si>
  <si>
    <t>47.3 (42.1–53.2)</t>
  </si>
  <si>
    <t>3.6 (3.1–4.2)</t>
  </si>
  <si>
    <t xml:space="preserve">PT: 35.1 EU/ml (95% CI: 28.5–43.1)
</t>
  </si>
  <si>
    <t>"The IgG-PT level was &lt;5 EU/mL in 3 (2.9%) of the 105 mothers immunized with the Tdap vaccine and 16 (16.1%) of the 99 mothers not immunized (P &lt; .001).
"At delivery, only 2.9% (3 of 105) of the maternal samples had an IgG-PT level of &lt;5 EU/mL, and 31.4% (33 of 105) had a level of &lt;20 EU/mL."</t>
  </si>
  <si>
    <t xml:space="preserve">PT: 51.3 EU/mL (95% CI: 41.3–63.8)
</t>
  </si>
  <si>
    <t>N from birth: 105
N left at 2 mo of age: 32</t>
  </si>
  <si>
    <t xml:space="preserve">PT: 11.6 EU/mL (95% CI: 8.1–20.1)
</t>
  </si>
  <si>
    <t>Table 2. GMCs of IgG-PT in Mothers, Cords, Infants, and Nonpregnant Female Blood Donors
N=32
"We measured IgG-PT levels in infants at birth (cord blood) and at approximately 1 and 2  months of age (before the first dose of DTwP vaccine)"</t>
  </si>
  <si>
    <t>PT:  9.8 EU/mL (95% CI: 8 –12.1)</t>
  </si>
  <si>
    <t>PT: 11.6 EU/mL (95% CI 9.7–14)</t>
  </si>
  <si>
    <t>term</t>
  </si>
  <si>
    <t>Anti-PT: 59.69 (50.24–70.92)
Anti-FHA: 231.49 (195.47–274.16)
Anti-PRN: 250.90 (199.65–315.31)</t>
  </si>
  <si>
    <t>Anti-PT: 87.83 (73.07–105.57)
Anti-FHA: 365.80 (307.11–435.70)
Anti-PRN: 387.06 (307.00–488.02)</t>
  </si>
  <si>
    <t>Anti-PT: 18.70 (15.23–22.95)
Anti-FHA: 80.84 (66.30–98.56)
Anti-PRN: 74.93 (57.81–97.12)</t>
  </si>
  <si>
    <t>Before Primary Vaccination</t>
  </si>
  <si>
    <t>Anti-PT: 44.57 (39.30–50.54)
Anti-FHA: 120.28 (107.37–134.73)
Anti-PRN: NA</t>
  </si>
  <si>
    <t>One Month After Primary Vaccination</t>
  </si>
  <si>
    <t>preterm</t>
  </si>
  <si>
    <t>Anti-PT: 58.18 (44.93–75.32)
Anti-FHA: 178.89 (133.89–239.02)
Anti-PRN: 217.80 (140.53–337.55)</t>
  </si>
  <si>
    <t>54 (53 for PT)</t>
  </si>
  <si>
    <t>Anti-PT: 47.64 (37.93–59.84)
Anti-FHA: 143.53 (110.99–185.61)
Anti-PRN: 171.84 (113.91–259.24)</t>
  </si>
  <si>
    <t>Anti-PT: 10.94 (8.55–14.00)
Anti-FHA: 43.77 (33.35–57.45)
Anti-PRN: 42.40 (29.80–60.31)</t>
  </si>
  <si>
    <t>Anti-PT: 42.90 (36.33–50.64)
Anti-FHA: 106.69 (90.60–125.65)
Anti-PRN: NA</t>
  </si>
  <si>
    <t>Anti-PT: 8.32 (4.50–15.37)
Anti-FHA: 22.19 (13.50–36.50)  
Anti-PRN: 19.08 (7.78–46.77)</t>
  </si>
  <si>
    <t>Anti-PT: 15.37 (8.83–26.75)
Anti-FHA: 42.70 (29.76–61.26)
Anti-PRN: 39.79 (19.89–79.58)</t>
  </si>
  <si>
    <t>Anti-PT: 3.39 (1.97–5.82)
Anti-FHA: 13.21 (9.42–18.52)
Anti-PRN: 11.67 (4.91–27.74)</t>
  </si>
  <si>
    <t>Anti-PT: 56.65 (44.51–72.09)
Anti-FHA: 162.11 (128.97–203.77)
Anti-PRN: NA</t>
  </si>
  <si>
    <t>Anti-PT: 6.04 (2.95–12.37)
Anti-FHA: 16.05 (6.85–37.59)
Anti-PRN: 9.27 (4.49–19.12)</t>
  </si>
  <si>
    <t>Anti-PT: 6.91 (2.26–21.13)
Anti-FHA: 29.03 (11.63–72.44)
Anti-PRN: 15.90 (7.06–35.81)</t>
  </si>
  <si>
    <t>Anti-PT: 2.26 (1.38–3.71)
Anti-FHA: 5.04 (2.52–10.05)
Anti-PRN: 3.50 (1.95–6.27)</t>
  </si>
  <si>
    <t>Anti-PT: 46.13 (24.95–85.28)
Anti-FHA: 91.67 (59.69–140.78)
Anti-PRN: NA</t>
  </si>
  <si>
    <t>0.11 (0.08 - 0.14)</t>
  </si>
  <si>
    <t>Supplementary Table 1.B: Anti-PT IgG levels in breast milk.</t>
  </si>
  <si>
    <t>0.14 (0.09 - 0.21)</t>
  </si>
  <si>
    <t>0.03 (0.02 - 0.04)</t>
  </si>
  <si>
    <t>0.05 (0.02 - 0.12)</t>
  </si>
  <si>
    <t>Tdap (before)</t>
  </si>
  <si>
    <t>A case of pertussis was defined as the onset of cough illness and ≥1 of the following: laboratory confirmation (culture or polymerase chain reaction) of pertussis, epidemiological linkage to a laboratory-confirmed case, or clinically compatible illness (cough for ≥2 weeks with paroxysms, inspiratory whoop, or posttussive vomiting) in an infant 2 to &lt;6 months of age</t>
  </si>
  <si>
    <t>Multivariable VE: 
Before pregnancy: 21.8 (−25.8 to 51.5)
During pregnancy: 45.6 (5.8–68.5)</t>
  </si>
  <si>
    <t>Tdap (during)</t>
  </si>
  <si>
    <t>Table 2.</t>
  </si>
  <si>
    <t>The following variables were included in the final model: household size &gt;2 persons, ethnicity, maternal education, household member with pertussis diagnosis, and infant age (in weeks).</t>
  </si>
  <si>
    <t>anti-PT: 66.5 (60.1–73.6)</t>
  </si>
  <si>
    <t>Geometric mean concentration (GMC) of anti-pertussis toxin (PT) IgG in vaccinated and unvaccinated maternal blood.</t>
  </si>
  <si>
    <t>anti-PT: 89.8 (80.9–99.6)</t>
  </si>
  <si>
    <t>Geometric mean concentration (GMC) of anti-pertussis toxin (PT) IgG in vaccinated and unvaccinated cord blood.</t>
  </si>
  <si>
    <t>anti-PT: 12.4 (10.3–14.9)</t>
  </si>
  <si>
    <t>anti-PT: 16.1 (12.7–20.4)</t>
  </si>
  <si>
    <t>No Tdap - Pregnancy</t>
  </si>
  <si>
    <t>"laboratory-confirmed Bordetella pertussis infection within 3 months of birth identified via culture, serology, or PCR"
"More than 98% of pertussis tests in Danish children are performed using PCR."</t>
  </si>
  <si>
    <t>Tdap - prenatal
Table 3: Infant effectiveness and safety
IRR (incidence rate ratio): 0.30 (95% CI 0.14 to 0.64)
incidence rate differences (IRD) per 100,000: -21 (-36 to -7)
VE: 72.1% (95% CI 41.6 to 86.7) - effectiveness against laboratory-confirmed pertussis
-- Vaccine effectiveness was not estimated for safety outcomes.
"All estimates were adjusted for differences in maternal characteristics by use of inverse probability of treatment weights"
Inverse probability of treatment weighting. "Analyses adjusted for maternal covariates including maternal age, parity, immigration status, education level, household income, cohabitation, smoking during pregnancy, pre-pregnancy BMI, and maternal health conditions (chronic lung disease, cardiovascular disease, polycystic ovarian syndrome, diabetes, chronic kidney disease, autoimmune disease, epilepsy, prior caesarean delivery, hypertension, and preeclampsia; see Table S2). Covariates were assessed at 24 + 0 weeks of gestation."</t>
  </si>
  <si>
    <t>"pertussis-related hospital contacts, defined as any hospital contact within 2 days before or 5 days after a positive test"</t>
  </si>
  <si>
    <r>
      <rPr>
        <sz val="10"/>
        <color theme="1"/>
        <rFont val="Arial"/>
        <family val="2"/>
      </rPr>
      <t xml:space="preserve">Tdap - prenatal
Table 3: Infant effectiveness and safety
</t>
    </r>
    <r>
      <rPr>
        <b/>
        <sz val="10"/>
        <color theme="1"/>
        <rFont val="Arial"/>
        <family val="2"/>
      </rPr>
      <t>IRR (incidecne rate ratio):</t>
    </r>
    <r>
      <rPr>
        <sz val="10"/>
        <color theme="1"/>
        <rFont val="Arial"/>
        <family val="2"/>
      </rPr>
      <t xml:space="preserve"> 0.34 (95% CI 0.15 to 0.77)
</t>
    </r>
    <r>
      <rPr>
        <b/>
        <sz val="10"/>
        <color theme="1"/>
        <rFont val="Arial"/>
        <family val="2"/>
      </rPr>
      <t>incidence rate differences (IRD) per 100,000</t>
    </r>
    <r>
      <rPr>
        <sz val="10"/>
        <color theme="1"/>
        <rFont val="Arial"/>
        <family val="2"/>
      </rPr>
      <t xml:space="preserve">: -16 (-29 to -3)
</t>
    </r>
    <r>
      <rPr>
        <b/>
        <sz val="10"/>
        <color theme="1"/>
        <rFont val="Arial"/>
        <family val="2"/>
      </rPr>
      <t>VE</t>
    </r>
    <r>
      <rPr>
        <sz val="10"/>
        <color theme="1"/>
        <rFont val="Arial"/>
        <family val="2"/>
      </rPr>
      <t>: 66.0% (23.4 to 84.9)
"All estimates were adjusted for differences in maternal characteristics by use of inverse probability of treatment weights"
Inverse probability of treatment weighting. "Analyses adjusted for maternal covariates including maternal age, parity, immigration status, education level, household income, cohabitation, smoking during pregnancy, pre-pregnancy BMI, and maternal health conditions (chronic lung disease, cardiovascular disease, polycystic ovarian syndrome, diabetes, chronic kidney disease, autoimmune disease, epilepsy, prior caesarean delivery, hypertension, and preeclampsia; see Table S2). Covariates were assessed at 24 + 0 weeks of gestation."</t>
    </r>
  </si>
  <si>
    <t>"laboratory-confirmed Bordetella pertussis infection within 3 months of birth identified via culture, serology, or PCR"</t>
  </si>
  <si>
    <t>No Tdap - prenatal</t>
  </si>
  <si>
    <t>Antipertactin (PRN): 127.51 (104.15, 156.12)
Antipertussis (PT): 28.25 (21.06, 37.90)</t>
  </si>
  <si>
    <t>Antipertactin: 71.41 (56.80, 89.77)
Antipertussis: 10.95 (8.71, 13.77)</t>
  </si>
  <si>
    <t>2mo infants prior to the administration of the vaccines</t>
  </si>
  <si>
    <t>Antipertactin: 8.07 (5.84, 11.14)
Antipertussis: 8.02 (5.84, 11.00)</t>
  </si>
  <si>
    <t>Antipertactin: 6.93 (5.52, 8.72)
Antipertussis: 6.20 (4.96, 7.73)</t>
  </si>
  <si>
    <t>Anti-FHA: 366.1 (329.0–407.3)
Anti-PRN: 301.8 (250.9–362.9)
Anti-PT: 46.9 (41.2–53.3)</t>
  </si>
  <si>
    <t>Tdap/control
Anti-FHA: 16.1 (13.5–19.2)
Anti-PRN: 20.7 (15.9–26.9)
Anti-PT: 8.5 (7.0–10.2)</t>
  </si>
  <si>
    <t>Table 2. Superiority assessment, GMCs and seropositivity rates of maternally transferred pertussis antibodies in infant cord blood of Tdap-vaccinated women versus control women (ATP cohort for immunogenicity).</t>
  </si>
  <si>
    <t>Anti-FHA: 22.7 (19.7–26.2)
Anti-PRN: 14.6 (12.1–17.7)
Anti-PT: 5.5 (4.8–6.3)</t>
  </si>
  <si>
    <t>PCR lab confirmed &lt; 2mo infant age</t>
  </si>
  <si>
    <t>Tdap during pregnancy: 
Unadjusted OR 0.28 (.16–.49)
Unadjusted VE%: 72.1 (51.0–84.1)
AOR: 0.19 (.08–.48)
Adjusted VE%: 80.7 (52.1–92.2)</t>
  </si>
  <si>
    <t>a Adjusted model included the following characteristics: participant age in weeks; history of congenital disease; history of breastfeeding; history of household with ≥3 members &lt;18 years of age; history of household member with respiratory illness.</t>
  </si>
  <si>
    <t>Tdap during 2nd trimester</t>
  </si>
  <si>
    <t>2nd trimester OR/VE%:
Unadjusted OR 0.28 (.15–.54)
Unadjusted VE% 71.6 (46.4–85.1)
Adjusted OR 0.22 (.08–.61)
Adjusted VE% 77.6 (39.1–91.8)</t>
  </si>
  <si>
    <t>Tdap during 3rd trimester</t>
  </si>
  <si>
    <t>3rd trimester OR/VE%: 
Unad. OR 0.32 (.16–.64)
Unad VE 68.1 (35.6–84.2)
AOR 0.17 (.06–.54)
Adj. VE 82.7 (46.4–94.4)</t>
  </si>
  <si>
    <t xml:space="preserve">crude HR: 0.56 (95% CI 0.36 - 0.88)
aHR: 0.74 (95% CI 0.42 - 1.29)
All analyses included adjustment, via inverse probability of treatment weighting, for mother’s age at delivery, year and month of delivery, region, living in a metropoli-
tan statistical area, multiparity, healthcare utilization, and influenza vaccination during pregnancy. The model also adjusted for indicators of preterm delivery since length of gestation affects both the probability of maternal vaccination (ie, fewer weeks to get the vaccine for preterm deliveries) and the risk of neonatal infection (ie, preterm infants have a higher risk of infection).
</t>
  </si>
  <si>
    <t>&lt;11</t>
  </si>
  <si>
    <t>crude HR: 0.40 (95% CI 0.13 - 1.26)
aHR: 0.40 (95% CI 0.13 - 1.27)
All analyses included adjustment, via inverse probability of treatment weighting, for mother’s age at delivery, year and month of delivery, region, living in a metropoli-
tan statistical area, multiparity, healthcare utilization, and influenza vaccination during pregnancy. The model also adjusted for indicators of preterm delivery since length of gestation affects both the probability of maternal vaccination (ie, fewer weeks to get the vaccine for preterm deliveries) and the risk of neonatal infection (ie, preterm infants have a higher risk of infection).</t>
  </si>
  <si>
    <t>crude HR: 0.59 (95% CI 0.38 - 0.91)
aHR: 0.50 (95% CI 0.24 - 1.04)
All analyses included adjustment, via inverse probability of treatment weighting, for mother’s age at delivery, year and month of delivery, region, living in a metropoli-
tan statistical area, multiparity, healthcare utilization, and influenza vaccination during pregnancy. The model also adjusted for indicators of preterm delivery since length of gestation affects both the probability of maternal vaccination (ie, fewer weeks to get the vaccine for preterm deliveries) and the risk of neonatal infection (ie, preterm infants have a higher risk of infection).</t>
  </si>
  <si>
    <t>crude HR: 1.03 (95% CI 0.70 - 1.51)
aHR: 1.07 (95% CI 0.66 - 1.72)
All analyses included adjustment, via inverse probability of treatment weighting, for mother’s age at delivery, year and month of delivery, region, living in a metropoli-
tan statistical area, multiparity, healthcare utilization, and influenza vaccination during pregnancy. The model also adjusted for indicators of preterm delivery since length of gestation affects both the probability of maternal vaccination (ie, fewer weeks to get the vaccine for preterm deliveries) and the risk of neonatal infection (ie, preterm infants have a higher risk of infection).</t>
  </si>
  <si>
    <t>Clinically diagnosed pertussis infection identified using ICD‑9‑CM pertussis diagnosis codes from inpatient and outpatient medical encounters occurring within the first 2 months of life</t>
  </si>
  <si>
    <t>"Of the 12,983 cases, 15 infants were diagnosed with pertussis in the first 2 months of life: 14 were
born to mothers not Tdap-vaccinated during pregnancy, and 1 was born to a mother vaccinated in the first trimester of pregnancy."</t>
  </si>
  <si>
    <t xml:space="preserve">IgG antibodies were found in 70/76 infants of vaccinated mothers.
IgG antibodies were found in 0/35 infants of unvaccinated mothers.
</t>
  </si>
  <si>
    <t>PT: Antibody titers were measured simultaneously
in all samples once the study was completed. An
Abcam’s anti-Bordetella pertussis toxin (PT) IgG in
vitro ELISA kit was used.</t>
  </si>
  <si>
    <t xml:space="preserve">2mo:1
</t>
  </si>
  <si>
    <t>polymerase chain reaction–confirmed pertussis disease
Since 2006, all pertussis testing has been conducted in a centralized laboratory using real-time polymerase chain reaction assay of nasopharyngeal swabs.20 Pertussis testing is done at the discretion of treating KPNC physicians as part of clinical care.</t>
  </si>
  <si>
    <t xml:space="preserve">In adjusted analysis, when compared with infants of unvaccinated women, Tdap5 vaccination any time during pregnancy but at least 14 days before delivery reduced the risk of pertussis in infants by 96.0% (95% confidence interval [CI], 64.6, 99.6; P=.004) during the first 2 months of life (Table 3).
VE 96.0% (95% CI 64.6, 99.6) - 2-month follow-up
"In the analysis that followed infants through the first 12 months of life, the Cox model also included a time-varying covariate to adjust for the number of infant DTaP doses received (0, 1, 2, or 3) in addition to the covariates included in the model for the first 2 months of life."
</t>
  </si>
  <si>
    <t xml:space="preserve">2mo: 1
</t>
  </si>
  <si>
    <t>We used Cox regression models to estimate the adjusted hazard ratio of the risk of pertussis in infants in the first 2 months and 12 months of life, comparing infants of vaccinated and unvaccinated women with Tdap5 during pregnancy. Each Cox model was specified on a calendar timeline and stratified by infant's month and year of birth and was adjusted for sex, race, delivery hospital, and maternal Tdap5 vaccination status before and after pregnancy. We calculated vaccine effectiveness as 1 minus adjusted hazard ratio, expressed as a percentage, which estimated the percent reduction in the incidence of infant pertussis.</t>
  </si>
  <si>
    <t xml:space="preserve">2mo: 17
</t>
  </si>
  <si>
    <t>Each Cox model was specified on a calendar timeline and stratified by the year and month of birth of the infant and included covariates to adjust for sex, race, delivery hospital, and maternal Tdap5 vaccination before and after pregnancy.</t>
  </si>
  <si>
    <t>PT: 47.0 (40.1, 55.1)
FHA: 321.5 (275.0, 375.8)
PRN: 164.6 (121.0, 224.1)
FIM 2/3: 26.3 (21.0, 33.0)</t>
  </si>
  <si>
    <t>Tdap to Td:
4.7 (3.3, 6.6)
10.5 (8.1,13.7)
32.0(20.6, 49.7)
1.3 (0.9, 1.9)</t>
  </si>
  <si>
    <t>GMC (95% con ﬁ dence interval); PT, Pertussis toxin; FHA, Filamentous hemagglutinin; PRN, Pertactin; FIM 2/3, Fimbriae 2/3; N, number of participants in each cell who provided a blood sample.a Units = IU/ml.</t>
  </si>
  <si>
    <t>PT: 55.4 (46.2, 66.6)
FHA: 387.5 (327.9, 457.9)
PRN: 184.5 (130.6, 260.6)
FIM 2/3: 23.9 (17.8, 32.0)</t>
  </si>
  <si>
    <t>Tdap to Td ratio:
PT: 7.0 (4.6, 10.7)
FHA: 13.7 (10.2, 18.3)
PRN: 46.4 (26.6, 81.0)
FIM 2/3: 1.6 (0.9, 2.6)</t>
  </si>
  <si>
    <t>PT: 21.0 (17.3, 25.5)
FHA: 143.5 (121.8, 169.1)
PRN: 72.6 (51.7, 101.9)
FIM 2/3: 9.5 (7.1, 12.7)</t>
  </si>
  <si>
    <t>Tdap to Td ratio:
PT: 4.8 (3.2, 7.3)
FHA: 10.8 (8.0, 14.5)
PRN: 39.5 (24.0, 65.0)
FIM 2/3: 1.4 (0.8, 2.3)</t>
  </si>
  <si>
    <t>PT: 17.3 (12.8, 23.4)
FHA: 23.9 (19.2, 29.8)
PRN: 28.4 (21.6, 37.3)
FIM 2/3: 274.3 (191.7, 392.6)</t>
  </si>
  <si>
    <t>Tdap to Td ratio:
PT: 0.3 (0.1, 0.5)
FHA: 28.4 (21.6, 37.3)
PRN: 0.7 (0.5, 1.1)
FIM 2/3: 0.6 (0.3, 1.0)</t>
  </si>
  <si>
    <t>Collected at 6mo after primary vaccination series.
GMC (95% con ﬁ dence interval); PT, Pertussis toxin; FHA, Filamentous hemagglutinin; PRN, Pertactin; FIM 2/3, Fimbriae 2/3; N, number of participants in each cell who provided a blood sample.a Units = IU/ml.</t>
  </si>
  <si>
    <t>PT: 10.1 (7.4, 13.6)
FHA: 30.6 (24.8, 37.7)
PRN: 5.1 (3.7, 7.1)
FIM 2/3: 20.1 (14.3, 28.2)</t>
  </si>
  <si>
    <t>PT: 7.9 (5.4, 11.5)
FHA: 28.4 (22.2, 36.3)
PRN: 4.0 (2.7, 5.9)
FIM 2/3: 15.2 (9.8, 23.8)</t>
  </si>
  <si>
    <t>PT: 4.3 (3.0, 6.2)
FHA: 13.3 (10.1, 17.6)
PRN: 1.8 (1.3, 2.7)
FIM 2/3: 6.9 (4.5, 10.4)</t>
  </si>
  <si>
    <t>PT: 67.1 (35.5, 126.7)
FHA: 20.7 (14.2, 30.2)
PRN: 39.1 (28.2, 54.2)
FIM 2/3: 465.6 (316.7, 684.6)</t>
  </si>
  <si>
    <r>
      <rPr>
        <b/>
        <sz val="10"/>
        <color theme="1"/>
        <rFont val="Arial"/>
        <family val="2"/>
      </rPr>
      <t>PT:</t>
    </r>
    <r>
      <rPr>
        <sz val="10"/>
        <color theme="1"/>
        <rFont val="Arial"/>
        <family val="2"/>
      </rPr>
      <t xml:space="preserve"> 87.4 IU/mL [95% CI 55.1, 138.5)
</t>
    </r>
    <r>
      <rPr>
        <b/>
        <sz val="10"/>
        <color theme="1"/>
        <rFont val="Arial"/>
        <family val="2"/>
      </rPr>
      <t>FHA:</t>
    </r>
    <r>
      <rPr>
        <sz val="10"/>
        <color theme="1"/>
        <rFont val="Arial"/>
        <family val="2"/>
      </rPr>
      <t xml:space="preserve"> 66.4 IU/mL (95% CI 41.7, 105.7)</t>
    </r>
  </si>
  <si>
    <t xml:space="preserve">PT: 8.54 [4.75–15.38] </t>
  </si>
  <si>
    <t>PT: tdap vs Td HIV+</t>
  </si>
  <si>
    <t>PT: 114.8 IU/mL [95% CI 70.4–186.8]
FHA: 74.1 IU/mL [95% CI 44.3, 124.2)</t>
  </si>
  <si>
    <t xml:space="preserve">PT: 9.61 [5.21–17.74] </t>
  </si>
  <si>
    <t>PT: 16.8 IU/mL [95% CI 10.7-26.1]
FHA: 20.2 IU/mL [95% CI 15.4, 26.5)</t>
  </si>
  <si>
    <t xml:space="preserve">18 wks after 3 doses of whole-cell pertussis vax
</t>
  </si>
  <si>
    <r>
      <rPr>
        <sz val="10"/>
        <color theme="1"/>
        <rFont val="Arial"/>
        <family val="2"/>
      </rPr>
      <t xml:space="preserve">PT: 122.7 IU/mL [95% CI 79.4–186.6]
</t>
    </r>
    <r>
      <rPr>
        <b/>
        <sz val="10"/>
        <color theme="1"/>
        <rFont val="Arial"/>
        <family val="2"/>
      </rPr>
      <t>FHA:</t>
    </r>
    <r>
      <rPr>
        <sz val="10"/>
        <color theme="1"/>
        <rFont val="Arial"/>
        <family val="2"/>
      </rPr>
      <t xml:space="preserve"> 210.9. IU/mL (95% CI 158.1, 281.4)</t>
    </r>
  </si>
  <si>
    <t>PT: 18.4 [10·4–32·4]</t>
  </si>
  <si>
    <t>PT: tdap vs Td HIV-</t>
  </si>
  <si>
    <t>PT: 170 IU/mL [95% CI
101–285]
FHA: 269.9 (186.5, 390.6)</t>
  </si>
  <si>
    <t>PT: 21.6 [11.2–41.7]</t>
  </si>
  <si>
    <t>PT: 23.5 IU/mL [95% CI
15.6-35.3]
FHA: 22.2 IU/mL [95% CI 17.1, 28.7)</t>
  </si>
  <si>
    <r>
      <rPr>
        <b/>
        <sz val="10"/>
        <color theme="1"/>
        <rFont val="Arial"/>
        <family val="2"/>
      </rPr>
      <t>PT:</t>
    </r>
    <r>
      <rPr>
        <sz val="10"/>
        <color theme="1"/>
        <rFont val="Arial"/>
        <family val="2"/>
      </rPr>
      <t xml:space="preserve"> 10.2 IU/mL (95% CI 7–14.9]
</t>
    </r>
    <r>
      <rPr>
        <b/>
        <sz val="10"/>
        <color theme="1"/>
        <rFont val="Arial"/>
        <family val="2"/>
      </rPr>
      <t>FHA</t>
    </r>
    <r>
      <rPr>
        <sz val="10"/>
        <color theme="1"/>
        <rFont val="Arial"/>
        <family val="2"/>
      </rPr>
      <t>: 18.8 (13.4, 26.3)</t>
    </r>
  </si>
  <si>
    <t xml:space="preserve">PT: 12 IU/mL (95% CI 8–17]
FHA: 17.5 IU/ mL (95% CI 11.6, 26.4) </t>
  </si>
  <si>
    <t>PT: 87.6 IU/mL (95% CI 43.7-175.6]
FHA: 19.8 IU/mL (95% CI 14.2, 27.7)</t>
  </si>
  <si>
    <r>
      <rPr>
        <b/>
        <sz val="10"/>
        <color theme="1"/>
        <rFont val="Arial"/>
        <family val="2"/>
      </rPr>
      <t>PT:</t>
    </r>
    <r>
      <rPr>
        <sz val="10"/>
        <color theme="1"/>
        <rFont val="Arial"/>
        <family val="2"/>
      </rPr>
      <t xml:space="preserve"> 6.6 IU/mL (95% CI 4.5–9.6]
</t>
    </r>
    <r>
      <rPr>
        <b/>
        <sz val="10"/>
        <color theme="1"/>
        <rFont val="Arial"/>
        <family val="2"/>
      </rPr>
      <t>FHA:</t>
    </r>
    <r>
      <rPr>
        <sz val="10"/>
        <color theme="1"/>
        <rFont val="Arial"/>
        <family val="2"/>
      </rPr>
      <t xml:space="preserve"> 16.5 (12.2, 22.2)</t>
    </r>
  </si>
  <si>
    <t>PT: 8 IU/mL [95% CI
5-12]
FHA: 17.5 IU/mL (95% CI 12.5, 24.7)</t>
  </si>
  <si>
    <t>PT: 141.1 IU/mL [95% CI
80.9-246.1]
FHA: 17.1 IU/mL (95% CI 12.8, 22.7)</t>
  </si>
  <si>
    <t>Table 3 Pertussis-antigen-specific IgG GMC in mothers at delivery and placental transfer from TdaP3-IPV-vaccinated mothers to infants</t>
  </si>
  <si>
    <t>61*</t>
  </si>
  <si>
    <t>PT 16.82 (12.64–22.37)
FHA 66.37 (51.95–84.79)
Prn 62.51 (39.17–99.75)
FIM 9.82 (6.71–14.37)</t>
  </si>
  <si>
    <t>PT 6.36 (3.82–10.61)
FHA 11.12 (7.36–16.79)
Prn 23.73 (11.46–49.15)
FIM 1.89 (0.96–3.71)</t>
  </si>
  <si>
    <t>* PRN had 62 in sample
Table 4</t>
  </si>
  <si>
    <t>PT 30.72 (26.32–35.84)
FHA 54.52 (47.75–62.25)
Prn 65.88 (55.66–77.96)
FIM 3.64 (2.77–4.79)</t>
  </si>
  <si>
    <t>PT 0.71 (0.56–0.9)
FHA 0.81 (0.65–1.01)
Prn 0.89 (0.64–1.24)
FIM 1.57 (1.02–2.41)</t>
  </si>
  <si>
    <t>Table 4</t>
  </si>
  <si>
    <t>PT 2.64 (1.77–3.94)
FHA 5.97 (4.02–8.87)
Prn 2.63 (1.44–4.82)
FIM 5.2 (2.94––9.21)</t>
  </si>
  <si>
    <t>45*</t>
  </si>
  <si>
    <t>PT 43.2 (35.5–52.58)
FHA 67.31 (55.02–82.34)
Prn 73.85 (54.41–100.22)
FIM 2.32 (1.73–3.12)</t>
  </si>
  <si>
    <t>* n=44 PRN</t>
  </si>
  <si>
    <t>Pertussis Hospitalizations/ED Visits</t>
  </si>
  <si>
    <r>
      <rPr>
        <b/>
        <sz val="10"/>
        <color theme="1"/>
        <rFont val="Arial"/>
        <family val="2"/>
      </rPr>
      <t xml:space="preserve">crude HR: </t>
    </r>
    <r>
      <rPr>
        <sz val="10"/>
        <color theme="1"/>
        <rFont val="Arial"/>
        <family val="2"/>
      </rPr>
      <t xml:space="preserve">0.09 (95% CI 0.01-0.72)
</t>
    </r>
    <r>
      <rPr>
        <b/>
        <sz val="10"/>
        <color theme="1"/>
        <rFont val="Arial"/>
        <family val="2"/>
      </rPr>
      <t xml:space="preserve">aHR: </t>
    </r>
    <r>
      <rPr>
        <sz val="10"/>
        <color theme="1"/>
        <rFont val="Arial"/>
        <family val="2"/>
      </rPr>
      <t xml:space="preserve">0.11 (95% CI 0.02-0.88)
</t>
    </r>
    <r>
      <rPr>
        <b/>
        <sz val="10"/>
        <color theme="1"/>
        <rFont val="Arial"/>
        <family val="2"/>
      </rPr>
      <t xml:space="preserve">VE: </t>
    </r>
    <r>
      <rPr>
        <sz val="10"/>
        <color theme="1"/>
        <rFont val="Arial"/>
        <family val="2"/>
      </rPr>
      <t xml:space="preserve">88.6% (95% CI 11.5%-98.5%)
</t>
    </r>
    <r>
      <rPr>
        <b/>
        <sz val="10"/>
        <color theme="1"/>
        <rFont val="Arial"/>
        <family val="2"/>
      </rPr>
      <t xml:space="preserve">aIRR: </t>
    </r>
    <r>
      <rPr>
        <sz val="10"/>
        <color theme="1"/>
        <rFont val="Arial"/>
        <family val="2"/>
      </rPr>
      <t>0.14 (95% CI 0.04 - 0.60)
adjusted for death as competing event</t>
    </r>
  </si>
  <si>
    <t>hospitalization among pertussis patients aged &lt;2 months</t>
  </si>
  <si>
    <r>
      <rPr>
        <b/>
        <sz val="10"/>
        <color theme="1"/>
        <rFont val="Arial"/>
        <family val="2"/>
      </rPr>
      <t xml:space="preserve">supplement table 1
Trimester 1/2
</t>
    </r>
    <r>
      <rPr>
        <sz val="10"/>
        <color theme="1"/>
        <rFont val="Arial"/>
        <family val="2"/>
      </rPr>
      <t xml:space="preserve">RR: 0.97 (95%CI 0.54-1.74)
aRR: 0.99 (95% CI 0.58-1.68)
</t>
    </r>
    <r>
      <rPr>
        <b/>
        <sz val="10"/>
        <color theme="1"/>
        <rFont val="Arial"/>
        <family val="2"/>
      </rPr>
      <t xml:space="preserve">Trimester 3
</t>
    </r>
    <r>
      <rPr>
        <sz val="10"/>
        <color theme="1"/>
        <rFont val="Arial"/>
        <family val="2"/>
      </rPr>
      <t>RR: 0.53 (95%CI 0.29-0.98)
aRR: 0.51 (95% CI 0.28-0.93)
adjusted for Residence in state with high pertussis incidence, Female sex, non-black race, d Non-Hispanic ethnicity, birth weight ≥2500 g, Maternal age ≥20 years, No maternal Tdap receipt, One physician visit, j No receipt of a macrolide antibiotic within 21 days of symptom onset.</t>
    </r>
  </si>
  <si>
    <t>NR
MW: 49</t>
  </si>
  <si>
    <t>60-11=49 hospitalized no tdap
+
36 - (12+2)=22 no hospitalized no tdap
49+22 = 71 no Tdap
If we're summing (thus assuming those who did not have confirmed tdap doses, did NOT have tdap - as opposed to being undocumented), then can't we also sum to get the # of events?
-&gt; 49 hospitalized no tdap</t>
  </si>
  <si>
    <t>PCR-confirmed Bordetella pertussis infection. The diagnosis was made using multiplex respiratory panels (BioFire FilmArray Respiratory Panel 2.1; bioMérieux) or real-time PCR, following validated national protocols</t>
  </si>
  <si>
    <t>Entire population was cases, so it would be 100% for each group, not sure how to handle this</t>
  </si>
  <si>
    <t>The entire cohort are patients under 18 years of age with PCR-confirmed Bordetella pertussis infection.
Assume that all deaths are due to PCR-confirmed Bordetella pertussis infection. Quote from Results (p. e15): "In the subgroup of infants under 2 months of age (n = 9), representing the period before eligibility for routine infant pertussis immunization, 1 patient (11.1%) died. Among these neonates, 2 (22.2%) had mothers who received the Tdap vaccine during pregnancy, and none of these infants died. The only fatal case occurred in an infant whose maternal vaccination status was undocumented."</t>
  </si>
  <si>
    <t>"In the subgroup of infants under 2 months of age (n = 9), representing the period before eligibility for routine infant pertussis immunization, 1 patient (11.1%) died. Among these neonates, 2 (22.2%) had mothers who received the Tdap vaccine during pregnancy, and none of these infants died."</t>
  </si>
  <si>
    <t>"The only fatal case occurred in an infant whose maternal vaccination status was undocumented."</t>
  </si>
  <si>
    <t>PT: 47.0 (40.1-55.1)
FHA: 321.5 (275.0-375.8)
PRN: 164.6 (121.0-224.1)
FIM 2/3: 26.3 (21.0-33.0)</t>
  </si>
  <si>
    <t>PT: 4.7 (3.3-6.6)
FHA: 10.5 (8.1-13.7)
PRN: 32.0 (20.6-49.7)
FIM 2/3: 1.3 (0.9-1.9)</t>
  </si>
  <si>
    <t>PT: 55.4 (46.2-66.2)
FHA: 387.5 (327.9-457.9)
PRN: 184.5 (130.6-260.6)
FIM 2/3: 23.9 (17.8-32.0)</t>
  </si>
  <si>
    <t>PT: 7.0 (4.6-10.7)
FHA: 13.7 (10.2-18.3)
PRN: 46.4 (26.6-81.0)
FIM 2/3: 1.6 (0.9-2.6)</t>
  </si>
  <si>
    <t>PT: 21.0 (17.3-25.5)
FHA: 143.5 (121.8-169.1)
PRN: 72.6 (51.7-101.9)
FIM 2/3: 9.5 (7.1-12.7)</t>
  </si>
  <si>
    <t>PT: 4.8 (3.2-7.3)
FHA: 10.8 (8.0-14.5)
PRN: 39.5 (24.0-65.0)
FIM 2/3: 1.4 (0.8-2.3)</t>
  </si>
  <si>
    <t>6 weeks of age, prior to first dose
"the infant vaccination program includes doses of diphtheria and tetanus toxoids and whole-cell pertussis vaccine (DTwP) at 6-, 10- and 14-weeks of age"</t>
  </si>
  <si>
    <t>PT: 17.3 (12.8-23.4)
FHA: 23.9 (19.2-29.8)
PRN: 28.4 (21.6-37.3)
FIM 2/3: 274.3 (191.7-392.6)</t>
  </si>
  <si>
    <t>PT: 0.3 (0.1-0.5)
FHA: 1.2 (0.8-1.7)
PRN: 0.7 (0.5-1.1)
FIM 2/3: 0.6 (0.3-1.0)</t>
  </si>
  <si>
    <t>Sample collected at 6 months
"the infant vaccination program includes doses of diphtheria and tetanus toxoids and whole-cell pertussis vaccine (DTwP) at 6-, 10- and 14-weeks of age"</t>
  </si>
  <si>
    <t>PT: 10.1 (7.4-13.6)
FHA: 30.6 (24.8-37.7)
PRN: 5.1 (3.7-7.1)
FIM 2/3: 20.1 (14.3-28.2)</t>
  </si>
  <si>
    <t>PT: 7.9 (5.4-11.5)
FHA: 28.4 (22.2-36.3)
PRN: 4.0 (2.7-5.9)
FIM 2/3: 15.2 (9.8-23.8)</t>
  </si>
  <si>
    <t>PT: 4.3 (3.0-6.2)
FHA: 13.3 (10.1-17.6)
PRN: 1.8 (1.3-2.7)
FIM 2/3: 6.9 (4.5-10.4)</t>
  </si>
  <si>
    <t>PT: 67.1 (35.5-126.7)
FHA: 20.7 (14.2-30.2)
PRN: 39.1 (28.2-54.2)
FIM 2/3: 465.6 (316.7-684.6)</t>
  </si>
  <si>
    <t>Fever</t>
  </si>
  <si>
    <t>Miscarriage or Spontaneous Abortion</t>
  </si>
  <si>
    <t>Stillbirth</t>
  </si>
  <si>
    <t>Preterm Birth (Premature Delivery)</t>
  </si>
  <si>
    <t>Preeclampsia or Eclampsia (Hypertensive Disorders)</t>
  </si>
  <si>
    <t>Chorioamnionitis</t>
  </si>
  <si>
    <t>Other Placental Conditions (e.g., abruption)</t>
  </si>
  <si>
    <t>Gestational Diabetes</t>
  </si>
  <si>
    <t>ALL OTHER Pregnancy-related Adverse Events</t>
  </si>
  <si>
    <t>SERIOUS Adverse Events</t>
  </si>
  <si>
    <t>OTHER Adverse Events</t>
  </si>
  <si>
    <t>Adjusted Estimate (RR/OR/HR and 95% CI)</t>
  </si>
  <si>
    <t>TOTAL Number of AEs</t>
  </si>
  <si>
    <t>List of AEs</t>
  </si>
  <si>
    <t>TOTAL Number of SAEs</t>
  </si>
  <si>
    <t>Study definition of SAE</t>
  </si>
  <si>
    <t>RR 0.58 (0.35–0.98); aRR 0.38 (0.22–0.67)</t>
  </si>
  <si>
    <t>Stillbirth/fetal death, defined as death at 20 completed weeks’ gestation or later</t>
  </si>
  <si>
    <t>RR  0.70 (0.63–0.77); aRR 0.71 (0.64–0.78)</t>
  </si>
  <si>
    <t>Preterm delivery was defined as live birth delivery before 37 weeks’ gestation.</t>
  </si>
  <si>
    <t>Adjusted for pre-specified covariates (diabetes, pre-existing hypertension [not for preeclampsia/eclampsia], Medicaid insurance, any hospitalization or Emergency Department visit from pregnancy start to index (vaccination) date, number of outpatient visits from pregnancy start to index (vaccination) date) in the model for each primary endpoint. 
Further adjusted for matching variables (age at pregnancy start, race/ethnicity, multiple gestation, estimated gestational age at index [vaccination] date) in the model for preterm delivery.</t>
  </si>
  <si>
    <t>RR 1.44 (1.27–1.65); aRR 1.38 (1.21–1.58)</t>
  </si>
  <si>
    <t>Preeclampsia/eclampsia</t>
  </si>
  <si>
    <t>Adjusted for pre-specified covariates (diabetes, pre-existing hypertension [not for preeclampsia/eclampsia], Medicaid insurance, any hospitalization or Emergency Department visit from pregnancy start to index (vaccination) date, number of outpatient visits from pregnancy start to index (vaccination) date) in the model for each primary endpoint. 
Further adjusted for additional covariate (number of previous pregnancies) in the model for preeclampsia/eclampsia and intrauterine infection.</t>
  </si>
  <si>
    <t>RR 1.41 (1.23–1.61); aRR 1.28 (1.12–1.47)</t>
  </si>
  <si>
    <t>Intrauterine infection such as chorioamnionitis and endometritis</t>
  </si>
  <si>
    <t>RR 1.27 (1.00–1.61); aRR 1.31 (0.99–1.72)</t>
  </si>
  <si>
    <t>Placental abruption</t>
  </si>
  <si>
    <t>Adjusted for covariates (diabetes, pre-existing hypertension, Medicaid insurance, any hospitalization or Emergency Department visit from pregnancy start to index (vaccination) date, number of outpatient visits from pregnancy start to index (vaccination) date, number of previous pregnancies, history of pregnancy loss, calendar month of pregnancy start, received other vaccines from pregnancy start to index (vaccination) date, received vaccines containing diphtheria, tetanus toxoid, or pertussis antigens within one year before pregnancy, and pre-pregnancy obesity) in the model for each secondary endpoint except for model of neonatal death where number of outpatient visits from pregnancy start to index (vaccination) date was removed from model due to convergence issues.</t>
  </si>
  <si>
    <t>RR 0.82 (0.70–0.95); aRR 0.76 (0.64–0.91)</t>
  </si>
  <si>
    <t>Preterm pre-labor rupture of membranes (PPROM)</t>
  </si>
  <si>
    <t>Maternal death: 2</t>
  </si>
  <si>
    <t xml:space="preserve"> NR</t>
  </si>
  <si>
    <t>Maternal death: 0</t>
  </si>
  <si>
    <r>
      <rPr>
        <b/>
        <sz val="10"/>
        <color theme="1"/>
        <rFont val="Arial"/>
        <family val="2"/>
      </rPr>
      <t>crude HR:</t>
    </r>
    <r>
      <rPr>
        <sz val="10"/>
        <color theme="1"/>
        <rFont val="Arial"/>
        <family val="2"/>
      </rPr>
      <t xml:space="preserve"> 0.99 (95% CI 0.71–1.38)
</t>
    </r>
    <r>
      <rPr>
        <b/>
        <sz val="10"/>
        <color theme="1"/>
        <rFont val="Arial"/>
        <family val="2"/>
      </rPr>
      <t xml:space="preserve">IPTW-adjusted estimate HR: </t>
    </r>
    <r>
      <rPr>
        <sz val="10"/>
        <color theme="1"/>
        <rFont val="Arial"/>
        <family val="2"/>
      </rPr>
      <t>1.15 (95% CI 0.82–1.60)</t>
    </r>
  </si>
  <si>
    <t>stillbirth (at ≥ 20 wk of gestation)</t>
  </si>
  <si>
    <t>Preterm: 670
very preterm: 66</t>
  </si>
  <si>
    <r>
      <rPr>
        <b/>
        <u/>
        <sz val="10"/>
        <color theme="1"/>
        <rFont val="Arial"/>
        <family val="2"/>
      </rPr>
      <t xml:space="preserve">PRETERM BIRTH
</t>
    </r>
    <r>
      <rPr>
        <b/>
        <sz val="10"/>
        <color theme="1"/>
        <rFont val="Arial"/>
        <family val="2"/>
      </rPr>
      <t>crude HR:</t>
    </r>
    <r>
      <rPr>
        <sz val="10"/>
        <color theme="1"/>
        <rFont val="Arial"/>
        <family val="2"/>
      </rPr>
      <t xml:space="preserve"> 0.99 (95% CI 0.92–1.07)
</t>
    </r>
    <r>
      <rPr>
        <b/>
        <sz val="10"/>
        <color theme="1"/>
        <rFont val="Arial"/>
        <family val="2"/>
      </rPr>
      <t xml:space="preserve">IPTW-adjusted estimate HR: </t>
    </r>
    <r>
      <rPr>
        <sz val="10"/>
        <color theme="1"/>
        <rFont val="Arial"/>
        <family val="2"/>
      </rPr>
      <t xml:space="preserve">0.98 (95% CI 0.91–1.06)
</t>
    </r>
    <r>
      <rPr>
        <b/>
        <u/>
        <sz val="10"/>
        <color theme="1"/>
        <rFont val="Arial"/>
        <family val="2"/>
      </rPr>
      <t>VERY PRETERM BIRTH</t>
    </r>
    <r>
      <rPr>
        <sz val="10"/>
        <color theme="1"/>
        <rFont val="Arial"/>
        <family val="2"/>
      </rPr>
      <t xml:space="preserve">
</t>
    </r>
    <r>
      <rPr>
        <b/>
        <sz val="10"/>
        <color theme="1"/>
        <rFont val="Arial"/>
        <family val="2"/>
      </rPr>
      <t>crude HR:</t>
    </r>
    <r>
      <rPr>
        <sz val="10"/>
        <color theme="1"/>
        <rFont val="Arial"/>
        <family val="2"/>
      </rPr>
      <t xml:space="preserve"> 1.09 (95% CI 0.85–1.39)
</t>
    </r>
    <r>
      <rPr>
        <b/>
        <sz val="10"/>
        <color theme="1"/>
        <rFont val="Arial"/>
        <family val="2"/>
      </rPr>
      <t>IPTW-adjusted estimate HR:</t>
    </r>
    <r>
      <rPr>
        <sz val="10"/>
        <color theme="1"/>
        <rFont val="Arial"/>
        <family val="2"/>
      </rPr>
      <t xml:space="preserve"> 1.10 (95% CI 0.86–1.41)</t>
    </r>
  </si>
  <si>
    <t>Preterm birth (&lt; 37 wk)
Very preterm birth (&lt; 32 wk)</t>
  </si>
  <si>
    <r>
      <rPr>
        <b/>
        <sz val="10"/>
        <color theme="1"/>
        <rFont val="Arial"/>
        <family val="2"/>
      </rPr>
      <t>crude RR:</t>
    </r>
    <r>
      <rPr>
        <sz val="10"/>
        <color theme="1"/>
        <rFont val="Arial"/>
        <family val="2"/>
      </rPr>
      <t xml:space="preserve"> 0.88 (95% CI 0.80–0.97)
</t>
    </r>
    <r>
      <rPr>
        <b/>
        <sz val="10"/>
        <color theme="1"/>
        <rFont val="Arial"/>
        <family val="2"/>
      </rPr>
      <t xml:space="preserve">IPTW-adjusted estimate RR: </t>
    </r>
    <r>
      <rPr>
        <sz val="10"/>
        <color theme="1"/>
        <rFont val="Arial"/>
        <family val="2"/>
      </rPr>
      <t>0.87 (95% CI 0.78–0.96)</t>
    </r>
  </si>
  <si>
    <t>Gestational hypertension</t>
  </si>
  <si>
    <r>
      <rPr>
        <b/>
        <sz val="10"/>
        <color theme="1"/>
        <rFont val="Arial"/>
        <family val="2"/>
      </rPr>
      <t>crude RR:</t>
    </r>
    <r>
      <rPr>
        <sz val="10"/>
        <color theme="1"/>
        <rFont val="Arial"/>
        <family val="2"/>
      </rPr>
      <t xml:space="preserve"> 1.2 (95% CI 1.01–1.42)
</t>
    </r>
    <r>
      <rPr>
        <b/>
        <sz val="10"/>
        <color theme="1"/>
        <rFont val="Arial"/>
        <family val="2"/>
      </rPr>
      <t xml:space="preserve">IPTW-adjusted estimate RR: </t>
    </r>
    <r>
      <rPr>
        <sz val="10"/>
        <color theme="1"/>
        <rFont val="Arial"/>
        <family val="2"/>
      </rPr>
      <t>1.17 (95% CI 0.99–1.39)</t>
    </r>
  </si>
  <si>
    <t>ICD-10-CA diagnostic codes from maternal hospitalization records during pregnancy and delivery</t>
  </si>
  <si>
    <r>
      <rPr>
        <b/>
        <sz val="10"/>
        <color theme="1"/>
        <rFont val="Arial"/>
        <family val="2"/>
      </rPr>
      <t>crude RR:</t>
    </r>
    <r>
      <rPr>
        <sz val="10"/>
        <color theme="1"/>
        <rFont val="Arial"/>
        <family val="2"/>
      </rPr>
      <t xml:space="preserve"> 1.00 (95% CI 0.90–1.12)
</t>
    </r>
    <r>
      <rPr>
        <b/>
        <sz val="10"/>
        <color theme="1"/>
        <rFont val="Arial"/>
        <family val="2"/>
      </rPr>
      <t xml:space="preserve">IPTW-adjusted estimate RR: </t>
    </r>
    <r>
      <rPr>
        <sz val="10"/>
        <color theme="1"/>
        <rFont val="Arial"/>
        <family val="2"/>
      </rPr>
      <t xml:space="preserve">1.01 (95%CI 0.91–1.13)
</t>
    </r>
  </si>
  <si>
    <t xml:space="preserve">Postpartum hemorrhage 
</t>
  </si>
  <si>
    <r>
      <rPr>
        <sz val="10"/>
        <color theme="1"/>
        <rFont val="Arial"/>
        <family val="2"/>
      </rPr>
      <t xml:space="preserve">
</t>
    </r>
    <r>
      <rPr>
        <b/>
        <sz val="10"/>
        <color theme="1"/>
        <rFont val="Arial"/>
        <family val="2"/>
      </rPr>
      <t xml:space="preserve">crude RR: </t>
    </r>
    <r>
      <rPr>
        <sz val="10"/>
        <color theme="1"/>
        <rFont val="Arial"/>
        <family val="2"/>
      </rPr>
      <t xml:space="preserve">0.81 (95% CI 0.57–1.16)
</t>
    </r>
    <r>
      <rPr>
        <b/>
        <sz val="10"/>
        <color theme="1"/>
        <rFont val="Arial"/>
        <family val="2"/>
      </rPr>
      <t>IPTW-adjusted estimate RR:</t>
    </r>
    <r>
      <rPr>
        <sz val="10"/>
        <color theme="1"/>
        <rFont val="Arial"/>
        <family val="2"/>
      </rPr>
      <t xml:space="preserve"> 0.79 (95% CI 0.55–1.13)</t>
    </r>
  </si>
  <si>
    <t>Severe Postpartum hemorrhage</t>
  </si>
  <si>
    <t>Preterm: 44,929
very preterm: 7,945</t>
  </si>
  <si>
    <t>23 087</t>
  </si>
  <si>
    <t>fever that led to hospotalization</t>
  </si>
  <si>
    <t>There was one preterm delivery with stillbirth at seven months’ gestational age in the TT group (5 weeks following vaccination);</t>
  </si>
  <si>
    <t>Premature contractions</t>
  </si>
  <si>
    <t>Fatigue</t>
  </si>
  <si>
    <t>*After Tdap vaccination, fever was reported 1 day after vaccination (N = 1), and another woman complained of fatigue. Both women were hospitalized"
In total, 7 serious adverse events (SAEs) were reported in 6 women.</t>
  </si>
  <si>
    <t>23 women*</t>
  </si>
  <si>
    <t>Solicited adverse events included pain at the injection site, swelling, erythema and general symptoms, e.g., myalgia and fever.
The most common adverse events were stiffness, swelling and itching at the injection site.</t>
  </si>
  <si>
    <t>"23 women experienced
at least 1 solicited adverse event (AE)</t>
  </si>
  <si>
    <t>22 women*</t>
  </si>
  <si>
    <t>*22 women presented with
at least 1 adverse event</t>
  </si>
  <si>
    <t>Appendix Table 6 - Removed because it reports Premature Labour rather than Premature delivery</t>
  </si>
  <si>
    <t>Unclear if Appendix Table 6 is describing what is an SAE or if they do not have clear data for each AE.</t>
  </si>
  <si>
    <t>Retained placenta or membranes: 4</t>
  </si>
  <si>
    <t xml:space="preserve">Premature labour (3)
Premature rupture of membranes (1)
Vaginal haemorrhage (1)
</t>
  </si>
  <si>
    <t>Number of serious events.
Participants with SAEs=27</t>
  </si>
  <si>
    <t>Injection site: 85
Systemic: 97</t>
  </si>
  <si>
    <t xml:space="preserve">Injection site n=55
Redness 14
Swelling 7
Induration 7
Pain 49
Bruising 8 
Systemic n=57
Headache 8
Fatigue 25
Myalgia 38
Arthralgia 1
Malaise 12
Impaired movement 13
</t>
  </si>
  <si>
    <t>Appendix Table 5. Excluded fever.</t>
  </si>
  <si>
    <t>Premature labour (2)
Premature rupture of membranes (1)</t>
  </si>
  <si>
    <t>Number of serious events.
Participants with SAEs=16</t>
  </si>
  <si>
    <t>RR 0.23 (0.19, 0.28)
aRR 0.23 (0.18, 0.28)</t>
  </si>
  <si>
    <t>Table 3 (Pertussis vaccination vs neither)
*Adjusted for parity, maternal age, BMI group, SES, smoking during pregnancy, public/private admission for the birth, maternal Aboriginal status, Maternal region of birth, metropolitan/rural location of hospital.
**also adjusted for any prior stillbirth.</t>
  </si>
  <si>
    <t>Birth before 37 weeks: 10495
Spontaneous (only) birth before 37 weeks: 4412
Birth before 34 weeks: 1747
Birth before 32 weeks: 727</t>
  </si>
  <si>
    <t>&lt;37 weeks: RR 0.66 (0.64, 0.69); aRR 0.68 (0.66, 0.71)
Spontaneous (only) birth &lt;37 weeks: RR 0.67 (0.63, 0.70); aRR 0.69 (0.65, 0.73)
&lt;34 weeks: RR 0.42 (0.39, 0.46); aRR 0.44 (0.41, 0.48)
&lt;32 weeks: RR 0.40 (0.35, 0.45); aRR 0.43 (0.38, 0.49)</t>
  </si>
  <si>
    <t>Preterm birth (PTB) &lt;37 weeks' gestation (primary); also reported &lt;34 weeks and &lt;32 weeks</t>
  </si>
  <si>
    <t>*Adjusted for parity, maternal age, BMI group, SES, smoking during pregnancy, public/private admission for the birth, maternal Aboriginal status, Maternal region of birth, metropolitan/rural location of hospital.</t>
  </si>
  <si>
    <t>Pre-eclampsia: 5146
Pre-eclampsia (First births only = primiparous): 3396</t>
  </si>
  <si>
    <t>Pre-eclampsia: RR 1.06 (1.0, 1.13); aRR 0.93 (0.87, 0.99)
Pre-eclampsia (First births only): RR 0.94 (0.86, 1.02); aRR 0.89 (0.82, 0.97)</t>
  </si>
  <si>
    <t>Birth before 37 weeks: 3636
Spontaneous (only) birth before 37 weeks: 1635
Birth before 34 weeks: 953
Birth before 32 weeks: 419</t>
  </si>
  <si>
    <t>Pre-eclampsia: 1111
Pre-eclampsia (First births only = primiparous): 589</t>
  </si>
  <si>
    <t>1/38</t>
  </si>
  <si>
    <t>RR: 0.95 (95% CI 0.90–1.01)</t>
  </si>
  <si>
    <t>Preterm (&lt;37 wk gestation)</t>
  </si>
  <si>
    <t>Table 2 Bivariate Analyses Comparing Demographics, Symptoms, and Clinical Course Between Infants &lt;63 Days of Age With Pertussis Born to Women With or Without Prenatal Tdap Vaccination</t>
  </si>
  <si>
    <t>22/302</t>
  </si>
  <si>
    <t>dTpa alone vs IIV alone carriage returns
RR (95% CI)
1.07 (0.64–1.78)</t>
  </si>
  <si>
    <r>
      <rPr>
        <b/>
        <u/>
        <sz val="10"/>
        <color theme="1"/>
        <rFont val="Arial"/>
        <family val="2"/>
      </rPr>
      <t>Table 2 Safety outcomes footnote:</t>
    </r>
    <r>
      <rPr>
        <sz val="10"/>
        <color theme="1"/>
        <rFont val="Arial"/>
        <family val="2"/>
      </rPr>
      <t xml:space="preserve">
a Any adverse event denominator: N = 4,188. Solicited, unsolicited, and medical advice event denominator: N = 4,068. Medical attendance denominator: N = 4,162. 
b Any adverse event denominator: N = 7,886. Solicited, unsolicited, and medical advice event denominator: N = 7,613. Medical attendance denominator: N = 7,829. 
c Any adverse event denominator: N = 1,684. Solicited, unsolicited, and medical advice event denominator: N = 1,616. Medical attendance denominator: N = 1,665.
I kept n's from characteristics tab</t>
    </r>
  </si>
  <si>
    <t>506 (including fever)
462 (-44 fever cases)</t>
  </si>
  <si>
    <t>dTpa alone
vs IIV alone
carriage returns
RR (95% CI)
1.32 (1.12–1.54)
Any adverse event (includes fever)</t>
  </si>
  <si>
    <t>Pain
Swelling and/or redness
Fever
Rash
Rigors
Headache
Diarrhoea 
Vomiting
ALOC
Seizure
Irritability 
Tiredness
Sleep pattern change
Unsolicited adverse events (other)
Medical advice via telephone
Medical attendance</t>
  </si>
  <si>
    <t>Participants who received dTpa were more likely to report any
adverse event (dTpa alone: 6.4%, IIV and dTpa 7.4%) than those who
received IIV alone (4.9%; RR 1.32, 95% CI 1.12 to 1.54 and RR 1.52,
95% CI 1.23 to 1.89, respectively)
Study says 506, this includes efevers. since fever is already counted in it's own column, the event count is 506 - 44 = 462.
The CI includes all AEs though (including fever)</t>
  </si>
  <si>
    <r>
      <rPr>
        <sz val="10"/>
        <color theme="1"/>
        <rFont val="Arial"/>
        <family val="2"/>
      </rPr>
      <t xml:space="preserve">Self-reported "abortion spontaneous" in free-text field of online survey.
</t>
    </r>
    <r>
      <rPr>
        <b/>
        <sz val="10"/>
        <color theme="1"/>
        <rFont val="Arial"/>
        <family val="2"/>
      </rPr>
      <t>3.2. Solicited adverse events</t>
    </r>
    <r>
      <rPr>
        <sz val="10"/>
        <color theme="1"/>
        <rFont val="Arial"/>
        <family val="2"/>
      </rPr>
      <t xml:space="preserve">
"Another participant (IIV at 5 weeks’ gestation) reported a fever (38.9 _x0004_C), vomiting, rigors, coughing, and spontaneous abortion"
- 1 event for no Tdap group</t>
    </r>
  </si>
  <si>
    <t>204 (including fever)
182 (-22 fever cases)</t>
  </si>
  <si>
    <t>Study says 204, this includes efevers. since fever is already counted in it's own column, the event count is 204 - 22 = 182.
The CI includes all AEs though (including fever)</t>
  </si>
  <si>
    <t>&lt;37w</t>
  </si>
  <si>
    <t>Table 1 data</t>
  </si>
  <si>
    <t>Preeclampsia or eclampsia</t>
  </si>
  <si>
    <t>Placenta previa and/or placental abruption</t>
  </si>
  <si>
    <t>Preterm delivery (&lt;37 w)</t>
  </si>
  <si>
    <t xml:space="preserve">Fever (any grade) assessed by telephone follow-up on day 7 post-vaccination.
Table 3
Comparison of adverse event reports after Tdap vaccine administration between seronegative and seropositive pregnant women (N = 87).
AE reports only for comparison between Tdap recipients whose blood was analyzed upon enrolment for anti-PT ABs. </t>
  </si>
  <si>
    <t>Seronegativity with Tdap
(N = 69)</t>
  </si>
  <si>
    <t>Table 4: Stillbirth or neonatal death
Combined</t>
  </si>
  <si>
    <t>Table 4: Preterm delivery</t>
  </si>
  <si>
    <t>Table 4: Preeclampsia</t>
  </si>
  <si>
    <t>Table 4: Gestational diabetes mellitus</t>
  </si>
  <si>
    <t>Table 4: Postpartum hemorrhage</t>
  </si>
  <si>
    <t>Seropositivity with Tdap
(N = 18)
Randomized</t>
  </si>
  <si>
    <t>Seronegativity with Tdap
(N = 69) + Seropositivity with Tdap (N = 18)</t>
  </si>
  <si>
    <t>Seropositivity with Td
(N = 13)
Randomized</t>
  </si>
  <si>
    <r>
      <rPr>
        <b/>
        <u/>
        <sz val="10"/>
        <color theme="1"/>
        <rFont val="Arial"/>
        <family val="2"/>
      </rPr>
      <t xml:space="preserve">Intention-to-treat analysis
</t>
    </r>
    <r>
      <rPr>
        <sz val="10"/>
        <color theme="1"/>
        <rFont val="Arial"/>
        <family val="2"/>
      </rPr>
      <t xml:space="preserve">IRR (95% CI)
1.15 (0.51–2.56)
IRD per 100 000 (95% CI)
3 (−16 to 22)
</t>
    </r>
    <r>
      <rPr>
        <b/>
        <u/>
        <sz val="10"/>
        <color theme="1"/>
        <rFont val="Arial"/>
        <family val="2"/>
      </rPr>
      <t xml:space="preserve">As-treated analysis
</t>
    </r>
    <r>
      <rPr>
        <sz val="10"/>
        <color theme="1"/>
        <rFont val="Arial"/>
        <family val="2"/>
      </rPr>
      <t xml:space="preserve">IRR (95% CI)
1.96 (0.73–5.26)
IRD per 100 000 (95% CI))
13 (−7 to 34)
</t>
    </r>
    <r>
      <rPr>
        <b/>
        <u/>
        <sz val="10"/>
        <color theme="1"/>
        <rFont val="Arial"/>
        <family val="2"/>
      </rPr>
      <t xml:space="preserve">As-treated analysis with inclusion of concomitant vaccinations
</t>
    </r>
    <r>
      <rPr>
        <sz val="10"/>
        <color theme="1"/>
        <rFont val="Arial"/>
        <family val="2"/>
      </rPr>
      <t>IRR (95% CI)
1.42 (0.76–2.66)
*As-treated analysis with inclusion of influenza and COVID-19 vaccination during pregnancy as time-varying covariates.</t>
    </r>
  </si>
  <si>
    <r>
      <rPr>
        <sz val="10"/>
        <color theme="1"/>
        <rFont val="Arial"/>
        <family val="2"/>
      </rPr>
      <t xml:space="preserve">Hospitalization with fever (ICD-10 R50 excluding R50.2)
</t>
    </r>
    <r>
      <rPr>
        <i/>
        <sz val="10"/>
        <color theme="1"/>
        <rFont val="Arial"/>
        <family val="2"/>
      </rPr>
      <t>Supplement</t>
    </r>
  </si>
  <si>
    <r>
      <rPr>
        <b/>
        <u/>
        <sz val="10"/>
        <color theme="1"/>
        <rFont val="Arial"/>
        <family val="2"/>
      </rPr>
      <t xml:space="preserve">Intention-to-treat analysis
</t>
    </r>
    <r>
      <rPr>
        <sz val="10"/>
        <color theme="1"/>
        <rFont val="Arial"/>
        <family val="2"/>
      </rPr>
      <t xml:space="preserve">RR (95% CI)
0.91 (0.65–1.26)
RD (95% CI)
−0.01 (−0.06 to 0.03)
</t>
    </r>
    <r>
      <rPr>
        <b/>
        <u/>
        <sz val="10"/>
        <color theme="1"/>
        <rFont val="Arial"/>
        <family val="2"/>
      </rPr>
      <t xml:space="preserve">As-treated analysis
</t>
    </r>
    <r>
      <rPr>
        <sz val="10"/>
        <color theme="1"/>
        <rFont val="Arial"/>
        <family val="2"/>
      </rPr>
      <t>RR (95% CI)        
0.86 (0.61–1.20)
RD (95% CI)
−0.02 (−0.08 to 0.03)</t>
    </r>
    <r>
      <rPr>
        <b/>
        <u/>
        <sz val="10"/>
        <color theme="1"/>
        <rFont val="Arial"/>
        <family val="2"/>
      </rPr>
      <t xml:space="preserve">
As-treated analysis with inclusion of concomitant vaccin</t>
    </r>
    <r>
      <rPr>
        <sz val="10"/>
        <color theme="1"/>
        <rFont val="Arial"/>
        <family val="2"/>
      </rPr>
      <t>ations
RR (95% CI)
0.87 (0.61–1.23)
*As-treated analysis with inclusion of influenza and COVID-19 vaccination during pregnancy as time-varying covariates.</t>
    </r>
  </si>
  <si>
    <r>
      <rPr>
        <sz val="10"/>
        <color theme="1"/>
        <rFont val="Arial"/>
        <family val="2"/>
      </rPr>
      <t xml:space="preserve">Stillbirth registered in Medical Birth Register or ICD-10 P95
</t>
    </r>
    <r>
      <rPr>
        <i/>
        <sz val="10"/>
        <color theme="1"/>
        <rFont val="Arial"/>
        <family val="2"/>
      </rPr>
      <t>Supplement</t>
    </r>
  </si>
  <si>
    <r>
      <rPr>
        <b/>
        <u/>
        <sz val="10"/>
        <color theme="1"/>
        <rFont val="Arial"/>
        <family val="2"/>
      </rPr>
      <t xml:space="preserve">Intention-to-treat analysis
</t>
    </r>
    <r>
      <rPr>
        <sz val="10"/>
        <color theme="1"/>
        <rFont val="Arial"/>
        <family val="2"/>
      </rPr>
      <t xml:space="preserve">IRR (95% CI)
0.95 (0.90–1.00)
IRD per 100 000 (95% CI)
−271 (−552 to 10)
</t>
    </r>
    <r>
      <rPr>
        <b/>
        <u/>
        <sz val="10"/>
        <color theme="1"/>
        <rFont val="Arial"/>
        <family val="2"/>
      </rPr>
      <t xml:space="preserve">As-treated analysis
</t>
    </r>
    <r>
      <rPr>
        <sz val="10"/>
        <color theme="1"/>
        <rFont val="Arial"/>
        <family val="2"/>
      </rPr>
      <t xml:space="preserve">IRR (95% CI)
1.06 (1.01–1.13)
IRD per 100 000 (95% CI))
272 (24–520)
</t>
    </r>
    <r>
      <rPr>
        <b/>
        <u/>
        <sz val="10"/>
        <color theme="1"/>
        <rFont val="Arial"/>
        <family val="2"/>
      </rPr>
      <t xml:space="preserve">As-treated analysis with inclusion of concomitant vaccinations
</t>
    </r>
    <r>
      <rPr>
        <sz val="10"/>
        <color theme="1"/>
        <rFont val="Arial"/>
        <family val="2"/>
      </rPr>
      <t>IRR (95% CI)
0.89 (0.85–0.93)
*As-treated analysis with inclusion of influenza and COVID-19 vaccination during pregnancy as time-varying covariates.</t>
    </r>
  </si>
  <si>
    <r>
      <rPr>
        <sz val="10"/>
        <color theme="1"/>
        <rFont val="Arial"/>
        <family val="2"/>
      </rPr>
      <t xml:space="preserve">Birth &lt;37 weeks gestation per Medical Birth Register
</t>
    </r>
    <r>
      <rPr>
        <i/>
        <sz val="10"/>
        <color theme="1"/>
        <rFont val="Arial"/>
        <family val="2"/>
      </rPr>
      <t>Supplement</t>
    </r>
  </si>
  <si>
    <t>Hypertension: 3359
Preeclampsia (Mild):1613
Preeclampsia (Severe/HELLP): 469</t>
  </si>
  <si>
    <r>
      <rPr>
        <b/>
        <u/>
        <sz val="10"/>
        <color theme="1"/>
        <rFont val="Arial"/>
        <family val="2"/>
      </rPr>
      <t>ITT</t>
    </r>
    <r>
      <rPr>
        <sz val="10"/>
        <color theme="1"/>
        <rFont val="Arial"/>
        <family val="2"/>
      </rPr>
      <t xml:space="preserve">
</t>
    </r>
    <r>
      <rPr>
        <b/>
        <sz val="10"/>
        <color theme="1"/>
        <rFont val="Arial"/>
        <family val="2"/>
      </rPr>
      <t>Hypertension</t>
    </r>
    <r>
      <rPr>
        <sz val="10"/>
        <color theme="1"/>
        <rFont val="Arial"/>
        <family val="2"/>
      </rPr>
      <t xml:space="preserve">
IRR: 1.08 (95% CI 1.03-1.14)
IRD per 100,000: 516 (207 to 824)
</t>
    </r>
    <r>
      <rPr>
        <b/>
        <sz val="10"/>
        <color theme="1"/>
        <rFont val="Arial"/>
        <family val="2"/>
      </rPr>
      <t>Preeclasmpisa (Mild)</t>
    </r>
    <r>
      <rPr>
        <sz val="10"/>
        <color theme="1"/>
        <rFont val="Arial"/>
        <family val="2"/>
      </rPr>
      <t xml:space="preserve">
RR: 1.06 (95% CI (0.98 -1.13)
IRD per 100,000: 167 ( 95% CI -47 to 382)
</t>
    </r>
    <r>
      <rPr>
        <b/>
        <sz val="10"/>
        <color theme="1"/>
        <rFont val="Arial"/>
        <family val="2"/>
      </rPr>
      <t>Preeclasmpisa (Severe/HELLP)</t>
    </r>
    <r>
      <rPr>
        <sz val="10"/>
        <color theme="1"/>
        <rFont val="Arial"/>
        <family val="2"/>
      </rPr>
      <t xml:space="preserve">
RR: 1.09 (95% CI 0.96 -1.25)
IRD per 100,000: 77 (95% CI 38 to 192)</t>
    </r>
  </si>
  <si>
    <t>Mild: O140, O149; Severe/HELLP: O141, O142, O150; Hypertension: O100-19, O139, BKHE3</t>
  </si>
  <si>
    <t>Tdap - Pregnancy
"When influenza and COVID-19 vaccinations were included as time-varying covariates, the association between Tdap and hypertensive disorders was removed (adjusted IRRs: hypertension 0.98 [0.94–1.02], mild preeclampsia 0.97 [0.92–1.02] and severe preeclampsia or hemolysis, elevated liver enzymes, and low platelets 0.94 [0.86–1.05]; Table 2)."</t>
  </si>
  <si>
    <r>
      <rPr>
        <b/>
        <u/>
        <sz val="10"/>
        <color theme="1"/>
        <rFont val="Arial"/>
        <family val="2"/>
      </rPr>
      <t xml:space="preserve">Intention-to-treat analysis
</t>
    </r>
    <r>
      <rPr>
        <sz val="10"/>
        <color theme="1"/>
        <rFont val="Arial"/>
        <family val="2"/>
      </rPr>
      <t xml:space="preserve">IRR (95% CI)
1.36 (0.95–1.97)
IRD per 100 000 (95% CI)
35 (−7 to 78)
</t>
    </r>
    <r>
      <rPr>
        <b/>
        <u/>
        <sz val="10"/>
        <color theme="1"/>
        <rFont val="Arial"/>
        <family val="2"/>
      </rPr>
      <t xml:space="preserve">As-treated analysis
</t>
    </r>
    <r>
      <rPr>
        <sz val="10"/>
        <color theme="1"/>
        <rFont val="Arial"/>
        <family val="2"/>
      </rPr>
      <t xml:space="preserve">IRR (95% CI)
1.26 (0.84–1.88)
IRD per 100 000 (95% CI))
22 (−16 to 60)
</t>
    </r>
    <r>
      <rPr>
        <b/>
        <u/>
        <sz val="10"/>
        <color theme="1"/>
        <rFont val="Arial"/>
        <family val="2"/>
      </rPr>
      <t xml:space="preserve">As-treated analysis with inclusion of concomitant vaccinations
</t>
    </r>
    <r>
      <rPr>
        <sz val="10"/>
        <color theme="1"/>
        <rFont val="Arial"/>
        <family val="2"/>
      </rPr>
      <t>IRR (95% CI)
1.10 (0.80–1.51)
*As-treated analysis with inclusion of influenza and COVID-19 vaccination during pregnancy as time-varying covariates.</t>
    </r>
  </si>
  <si>
    <t>ICD-10 O411B</t>
  </si>
  <si>
    <r>
      <rPr>
        <b/>
        <u/>
        <sz val="10"/>
        <color theme="1"/>
        <rFont val="Arial"/>
        <family val="2"/>
      </rPr>
      <t xml:space="preserve">Intention-to-treat analysis
</t>
    </r>
    <r>
      <rPr>
        <sz val="10"/>
        <color theme="1"/>
        <rFont val="Arial"/>
        <family val="2"/>
      </rPr>
      <t xml:space="preserve">IRR (95% CI)
1.04 (0.93–1.16)
IRD per 100 000 (95% CI)
53 (−92 to 198)
</t>
    </r>
    <r>
      <rPr>
        <b/>
        <u/>
        <sz val="10"/>
        <color theme="1"/>
        <rFont val="Arial"/>
        <family val="2"/>
      </rPr>
      <t xml:space="preserve">As-treated analysis
</t>
    </r>
    <r>
      <rPr>
        <sz val="10"/>
        <color theme="1"/>
        <rFont val="Arial"/>
        <family val="2"/>
      </rPr>
      <t xml:space="preserve">IRR (95% CI)
1.13 (1.01–1.27)
IRD per 100 000 (95% CI))
139 (9–270)
</t>
    </r>
    <r>
      <rPr>
        <b/>
        <u/>
        <sz val="10"/>
        <color theme="1"/>
        <rFont val="Arial"/>
        <family val="2"/>
      </rPr>
      <t xml:space="preserve">As-treated analysis with inclusion of concomitant vaccinations
</t>
    </r>
    <r>
      <rPr>
        <sz val="10"/>
        <color theme="1"/>
        <rFont val="Arial"/>
        <family val="2"/>
      </rPr>
      <t>IRR (95% CI)
0.95 (0.87–1.04)
*As-treated analysis with inclusion of influenza and COVID-19 vaccination during pregnancy as time-varying covariates.</t>
    </r>
  </si>
  <si>
    <t xml:space="preserve">PPROM, preterm prelabour rupture of membranes.
PPROM	ICD-10	O420, O422, O424
</t>
  </si>
  <si>
    <t>ICU admission: 179
Maternal mortality: 0</t>
  </si>
  <si>
    <r>
      <rPr>
        <b/>
        <sz val="10"/>
        <color theme="1"/>
        <rFont val="Arial"/>
        <family val="2"/>
      </rPr>
      <t xml:space="preserve">ICU admission:
</t>
    </r>
    <r>
      <rPr>
        <b/>
        <u/>
        <sz val="10"/>
        <color theme="1"/>
        <rFont val="Arial"/>
        <family val="2"/>
      </rPr>
      <t xml:space="preserve">Intention-to-treat analysis
</t>
    </r>
    <r>
      <rPr>
        <sz val="10"/>
        <color theme="1"/>
        <rFont val="Arial"/>
        <family val="2"/>
      </rPr>
      <t xml:space="preserve">IRR (95% CI)
0.91 (0.74–1.11)
IRD per 100 000 (95% CI)
−37 (−113 to 39)
</t>
    </r>
    <r>
      <rPr>
        <b/>
        <u/>
        <sz val="10"/>
        <color theme="1"/>
        <rFont val="Arial"/>
        <family val="2"/>
      </rPr>
      <t xml:space="preserve">As-treated analysis
</t>
    </r>
    <r>
      <rPr>
        <sz val="10"/>
        <color theme="1"/>
        <rFont val="Arial"/>
        <family val="2"/>
      </rPr>
      <t xml:space="preserve">IRR (95% CI)
0.97 (0.78–1.20)
IRD per 100 000 (95% CI))
−9 (−76 to 57)
</t>
    </r>
    <r>
      <rPr>
        <b/>
        <u/>
        <sz val="10"/>
        <color theme="1"/>
        <rFont val="Arial"/>
        <family val="2"/>
      </rPr>
      <t xml:space="preserve">As-treated analysis with inclusion of concomitant vaccinations
</t>
    </r>
    <r>
      <rPr>
        <sz val="10"/>
        <color theme="1"/>
        <rFont val="Arial"/>
        <family val="2"/>
      </rPr>
      <t>IRR (95% CI)
0.86 (0.73–1.01)
*As-treated analysis with inclusion of influenza and COVID-19 vaccination during pregnancy as time-varying covariates.
*As-treated analysis with inclusion of influenza and COVID-19 vaccination during pregnancy as time-varying covariates.</t>
    </r>
  </si>
  <si>
    <r>
      <rPr>
        <b/>
        <sz val="10"/>
        <color theme="1"/>
        <rFont val="Arial"/>
        <family val="2"/>
      </rPr>
      <t xml:space="preserve">ICU admission
</t>
    </r>
    <r>
      <rPr>
        <sz val="10"/>
        <color theme="1"/>
        <rFont val="Arial"/>
        <family val="2"/>
      </rPr>
      <t>Coding system: SKS
Code: NABB, NABE
Maternal mortality</t>
    </r>
  </si>
  <si>
    <r>
      <rPr>
        <b/>
        <sz val="10"/>
        <color theme="1"/>
        <rFont val="Arial"/>
        <family val="2"/>
      </rPr>
      <t>Venous thromboembolism</t>
    </r>
    <r>
      <rPr>
        <sz val="10"/>
        <color theme="1"/>
        <rFont val="Arial"/>
        <family val="2"/>
      </rPr>
      <t>:
Intention-to-treat analysis
IRR (95% CI)
0.86 (0.67–1.10)
IRD per 100 000 (95% CI)
−39 (−103 to 25)
As-treated analysis
IRR (95% CI)
0.95 (0.75–1.22)
IRD per 100 000 (95% CI))
−10 (−68 to 478)
As-treated analysis with inclusion of concomitant vaccinations
IRR (95% CI)
0.85 (0.71–1.02)
*As-treated analysis with inclusion of influenza and COVID-19 vaccination during pregnancy as time-varying covariates.</t>
    </r>
  </si>
  <si>
    <t>Venous thromboembolism
Maternal mortality</t>
  </si>
  <si>
    <t>Hypertension: 3056
Preeclampsia (Mild): 1505
Preeclampsia (Severe/HELLP): 422</t>
  </si>
  <si>
    <t>ICU admission: 199
Maternal mortality: N &lt; 5*
*Less than five unvaccinated individuals died during pregnancy. By Danish law counts less than five cannot be reported.</t>
  </si>
  <si>
    <t>30 minutes: 0
24 hours: 26
48 hours: 8
1 month: 0</t>
  </si>
  <si>
    <t>24 hours:
Headache
Local erythema
Local heat
Mild local pain
Nausea and/or vomiting
Fatigue
48 hours:
Mild local pain
Nausea and/or vomiting
Muscle pain</t>
  </si>
  <si>
    <t>Table 2 (subtracted "None" event and "More than one symptom" event)</t>
  </si>
  <si>
    <t>30 minutes: 0
24 hours: 22
48 hours: 6
1 month: 0</t>
  </si>
  <si>
    <t>1.2% (0.3–3.0)</t>
  </si>
  <si>
    <t>fever being defined as a temperature ≥37.5°C measured orally or via axillary or tympanic route, or ≥38.0°C measured rectally</t>
  </si>
  <si>
    <t>Table 7 Solicited and unsolicited adverse events after the pregnancy dose</t>
  </si>
  <si>
    <t>Table 6's key notes that no stillbirth was found in either group.</t>
  </si>
  <si>
    <t>3.2% (1.6–5.7)</t>
  </si>
  <si>
    <t>Pre-eclampsia: 1
Pregnancy-related hypertension: 4
Eclampsia: 0</t>
  </si>
  <si>
    <t>Pre-eclampsia: 0.3% (0.0–1.6)</t>
  </si>
  <si>
    <t>Table 6's key also notes that no eclampsia was found in either group.</t>
  </si>
  <si>
    <t>Table 6's key also notes that no gestational diabetes was found in either group.</t>
  </si>
  <si>
    <t>Premature labor
Premature rupture of membranes
Premature uterine contractions
Preterm premature rupture of membranes
Vaginal or intrauterine hemorrhage</t>
  </si>
  <si>
    <t>Table 6</t>
  </si>
  <si>
    <t>56+8=64</t>
  </si>
  <si>
    <t>Supplemental tables 3 &amp; 4</t>
  </si>
  <si>
    <t xml:space="preserve">Solicited local AEs: 469
Solicited general AEs (not including fever): 289
</t>
  </si>
  <si>
    <t xml:space="preserve">Solicited local AEs (8 days post-vaccination): Pain, Redness, Swelling (Any)
Solicited general AEs (8 days post-vaccination): Fatigue, GI symptoms, Headache (Any)
</t>
  </si>
  <si>
    <t>Table 7 (Pregnancy dose)</t>
  </si>
  <si>
    <t>0.9% (0.2–2.5)</t>
  </si>
  <si>
    <t>2.6% (1.2–4.9)</t>
  </si>
  <si>
    <t>Pre-eclampsia: 5
Pregnancy-related hypertension: 5
Eclampsia: 0</t>
  </si>
  <si>
    <t>Pre-eclampsia: 1.4% (0.5–3.3)</t>
  </si>
  <si>
    <t>64+6=70</t>
  </si>
  <si>
    <t xml:space="preserve">Solicited local AEs: 106
Solicited general AEs (not including fever): 254
</t>
  </si>
  <si>
    <t>Incidence per 1000:
0.83 (0.02; 4.65) CI 95%</t>
  </si>
  <si>
    <t>Incidence per 1000 (99% CI) 
53.38 (37.76; 73.09)
------
aOR (95% CI): 0.603 (0.351; 1.035)
Tdap maternal vaccination during pregnancy: Exposed vs. Unexposed
Table 3.
Estimated coefficients for the adjusted logistic regression model to explore the risk factors of pregnancy-related AEs and neonatal AEs of interest in current pregnancy (Total cohort).
Adusted for:
- Maternal age at the start of the pregnancy (in years)
- Pre-term baby (&lt;37 weeks) in previous pregnancies</t>
  </si>
  <si>
    <t>Birth before 37 weeks of gestation</t>
  </si>
  <si>
    <t>aOR (95% CI): 0.603 (0.351; 1.035)
Tdap maternal vaccination during pregnancy: Exposed vs. Unexposed
Table 3.
Estimated coefficients for the adjusted logistic regression model to explore the risk factors of pregnancy-related AEs and neonatal AEs of interest in current pregnancy (Total cohort).
Adusted for:
- Maternal age at the start of the pregnancy (in years)
- Pre-term baby (&lt;37 weeks) in previous pregnancies</t>
  </si>
  <si>
    <t>Preeclampsia</t>
  </si>
  <si>
    <t>Incidence proportion per 1000 (99% CI)
8.34 (3.10; 17.85)</t>
  </si>
  <si>
    <t>Maternal death</t>
  </si>
  <si>
    <t>There were no events of maternal death and neonatal
hypoxic-ischemic encephalopathy reported in both the
exposed and the unexposed cohort.</t>
  </si>
  <si>
    <t>4.77 (1.75; 10.37)</t>
  </si>
  <si>
    <t>96.11 (75.10; 120.99)</t>
  </si>
  <si>
    <t>Incidence proportion per 1000 (99% CI)
17.47 (9.37; 29.56)</t>
  </si>
  <si>
    <t>Pregnancy-related
hypertensiona</t>
  </si>
  <si>
    <t>aOR (95% CI): 0.067 (0.008; 0.590)
Tdap maternal vaccination during pregnancy: Exposed vs. Unexposed</t>
  </si>
  <si>
    <t>Vaginal hemorrhage</t>
  </si>
  <si>
    <t>Vaginal hemorrhage
Table 3.
Estimated coefficients for the adjusted logistic regression model to explore the risk factors of pregnancy-related AEs and neonatal AEs of interest in current pregnancy (Total cohort).
Adusted for:
Placenta previa, Neonatal death in previous pregnancy, Tdap</t>
  </si>
  <si>
    <t>Eclampsia</t>
  </si>
  <si>
    <t>HELLP syndrome</t>
  </si>
  <si>
    <t>RR: 0.81 0.75–0.87
aRR: 0.91 0.84–0.99</t>
  </si>
  <si>
    <t>other acute respiratory infections (ARIs)</t>
  </si>
  <si>
    <t>Table 2: adjusted for maternal age at delivery, race/ethnicity, marital status, military rank, service branch, occupation, receipt of vaccination(s) not
recommended during pregnancy, influenza vaccination during pregnancy (if not included in exposure definition), year of delivery, month of delivery, and low birth weight.</t>
  </si>
  <si>
    <t>Tdap (any time)</t>
  </si>
  <si>
    <t>Fever in Table 1 not assessed by vax status.
Yes, any time:
257+1097=1354</t>
  </si>
  <si>
    <r>
      <rPr>
        <sz val="10"/>
        <color theme="1"/>
        <rFont val="Arial"/>
        <family val="2"/>
      </rPr>
      <t xml:space="preserve">cOR: 1.21 (0.86, 1.70)
aOR: 1.07 (0.76, 1.52)
</t>
    </r>
    <r>
      <rPr>
        <b/>
        <sz val="10"/>
        <color theme="1"/>
        <rFont val="Arial"/>
        <family val="2"/>
      </rPr>
      <t>Weighted</t>
    </r>
    <r>
      <rPr>
        <sz val="10"/>
        <color theme="1"/>
        <rFont val="Arial"/>
        <family val="2"/>
      </rPr>
      <t>:
Case 82.8%
Control 82.0%
cOR 1.06 (0.81, 1.38)
aOR 0.94 (0.72, 1.23)
Observations were weighted by the inverse probability of being sampled for validation.
Adjusted models included age at delivery, race and ethnicity, marital status, parity, and birth hospital</t>
    </r>
  </si>
  <si>
    <t>Clinical chorioamnionitis cases were defined as those meeting Clinical Definition A or B according to the Brighton Collaboration Chorioamnionitis Working Group. Clinical Definition A was satisfied by evidence of maternal fever and one or more of the following: leukocytosis (≥15 000/mm3 in absence of corticosteroids), definite purulent fluid from the cervical os, and baseline fetal tachycardia. Clinical Definition B was satisfied by evidence of maternal fever and two or more of the following: maternal tachycardia, fetal tachycardia, uterine tenderness, leukocytosis, and definite purulent fluid from the cervical os</t>
  </si>
  <si>
    <t>Table 3
cOR = crude OR
Adjusted models included age at delivery, race and ethnicity, marital status, parity, and birth hospital.</t>
  </si>
  <si>
    <t>Tdap (27-36w)</t>
  </si>
  <si>
    <t>Yes, 27–36weeks' gestation:
231+1020=1251</t>
  </si>
  <si>
    <r>
      <rPr>
        <sz val="10"/>
        <color theme="1"/>
        <rFont val="Arial"/>
        <family val="2"/>
      </rPr>
      <t xml:space="preserve">cOR: 1.19 (0.85, 1.68)
aOR: 1.06 (0.75, 1.51)
</t>
    </r>
    <r>
      <rPr>
        <b/>
        <sz val="10"/>
        <color theme="1"/>
        <rFont val="Arial"/>
        <family val="2"/>
      </rPr>
      <t>Weighted</t>
    </r>
    <r>
      <rPr>
        <sz val="10"/>
        <color theme="1"/>
        <rFont val="Arial"/>
        <family val="2"/>
      </rPr>
      <t>:
Case 47.8% 
Control 76.2%
cOR 1.04 (0.79, 1.36)
aOR 0.92 (0.70, 1.22)
Observations were weighted by the inverse probability of being sampled for validation.
Adjusted models included age at delivery, race and ethnicity, marital status, parity, and birth hospital</t>
    </r>
  </si>
  <si>
    <t>No
48+248=296</t>
  </si>
  <si>
    <t>0–13 weeks’ gestation</t>
  </si>
  <si>
    <t>HR: 1.15 (1.01–1.30) 
aHR: 1.07 (0.94–1.22)
Multivariable models adjusted for maternal age at conception, marital status, military rank, military service branch, and receipt of vaccines not routinely recommended in
pregnancy.</t>
  </si>
  <si>
    <t>Spontaneous abortion ≤22 weeks EGA using ICD‑9‑CM 632,634.xx and/or CPT 59812,59820,59821,59830; censored at 22 weeks.</t>
  </si>
  <si>
    <t>HR: 0.88 (0.69–1.11)
aHR:  0.94 (0.74–1.19)
Multivariable models adjusted for maternal age at conception, marital status, military rank, military service branch, and receipt of vaccines not routinely recommended in
pregnancy.</t>
  </si>
  <si>
    <r>
      <rPr>
        <sz val="10"/>
        <rFont val="Arial"/>
        <family val="2"/>
      </rPr>
      <t xml:space="preserve">Table 3
"Case definitions for preeclampsia and preterm labor in this population have been described previously [29]. "
</t>
    </r>
    <r>
      <rPr>
        <b/>
        <sz val="10"/>
        <rFont val="Arial"/>
        <family val="2"/>
      </rPr>
      <t xml:space="preserve">29: Preterm labor </t>
    </r>
    <r>
      <rPr>
        <sz val="10"/>
        <rFont val="Arial"/>
        <family val="2"/>
      </rPr>
      <t xml:space="preserve">cases were defined as pregnancies with an ICD-9-CM-coded diagnosis of threatened premature labor (hereafter referred to as premature labor; 644.0x) or early (spontaneous) onset of delivery (hereafter referred to as premature delivery; 644.2x) occurring during pregnancy with initial diagnosis of either premature labor or premature delivery at least 1 day after pandemic H1N1 or seasonal influenza immunization. For premature labor cases, in the absence of premature delivery, an inpatient diagnosis of premature labor was required and initial diagnosis had to occur between 22 and 37 weeks of gestation
SOURCE: </t>
    </r>
    <r>
      <rPr>
        <u/>
        <sz val="10"/>
        <color rgb="FF1155CC"/>
        <rFont val="Arial"/>
        <family val="2"/>
      </rPr>
      <t>https://apps.dtic.mil/sti/tr/pdf/ADA617598.pdf</t>
    </r>
    <r>
      <rPr>
        <sz val="10"/>
        <rFont val="Arial"/>
        <family val="2"/>
      </rPr>
      <t xml:space="preserve"> 
For</t>
    </r>
    <r>
      <rPr>
        <b/>
        <sz val="10"/>
        <rFont val="Arial"/>
        <family val="2"/>
      </rPr>
      <t xml:space="preserve"> premature delivery</t>
    </r>
    <r>
      <rPr>
        <sz val="10"/>
        <rFont val="Arial"/>
        <family val="2"/>
      </rPr>
      <t xml:space="preserve"> cases, initial diagnosis of premature labor or premature delivery had to occur after 22 weeks of gestation and a diagnosis of premature delivery was required during the delivery (or VOL. 121, NO. 3, MARCH 2013 loss) episode. Furthermore, for premature delivery cases resulting in a liveborn neonate, evidence of preterm birth was required. Because preterm labor is not typically diagnosed before 22 weeks of gestation, pregnancies ending before this point could not develop this outcome and were excluded from analyses. Similarly, preterm labor cannot occur after 37 weeks of gestation
SOURCE: </t>
    </r>
    <r>
      <rPr>
        <u/>
        <sz val="10"/>
        <color rgb="FF1155CC"/>
        <rFont val="Arial"/>
        <family val="2"/>
      </rPr>
      <t>https://apps.dtic.mil/sti/tr/pdf/ADA617598.pdf</t>
    </r>
    <r>
      <rPr>
        <sz val="10"/>
        <rFont val="Arial"/>
        <family val="2"/>
      </rPr>
      <t xml:space="preserve"> </t>
    </r>
  </si>
  <si>
    <t>HR: 0.95 (0.72–1.24) 
aHR: 1.02 (0.78–1.34)
Multivariable models adjusted for maternal age at conception, marital status, military rank, military service branch, and receipt of vaccines not routinely recommended in pregnancy.</t>
  </si>
  <si>
    <t>HR:  0.93 (0.85–1.02)
aHR:  0.97 (0.88–1.07)
Multivariable models adjusted for maternal age at conception, marital status, military rank, military service branch, and receipt of vaccines not routinely recommended in
pregnancy.</t>
  </si>
  <si>
    <t>HR:  1.00 (0.92–1.10)
aHR:  1.07 (0.97–1.17)
Multivariable models adjusted for maternal age at conception, marital status, military rank, military service branch, and receipt of vaccines not routinely recommended in pregnancy.</t>
  </si>
  <si>
    <t>0–13 weeks’ gestation
+
27–36 weeks’ gestation</t>
  </si>
  <si>
    <t>Premature Labor:</t>
  </si>
  <si>
    <t>Growth problems in utero (GPU):
433</t>
  </si>
  <si>
    <t>Growth problems in utero.</t>
  </si>
  <si>
    <t>GPU: 3316</t>
  </si>
  <si>
    <t>aHR: 1.01 (0.96–1.07)</t>
  </si>
  <si>
    <t>Preterm birth (&lt;37 weeks’ gestation)</t>
  </si>
  <si>
    <t>Hazard ratios (HR) were estimated using a time-dependent covariate Cox regression</t>
  </si>
  <si>
    <t>aHR: 0.96 (0.90–1.03)</t>
  </si>
  <si>
    <t>Chorioamnionitis identified by ICD-10-CM codes (i.e., ICD-10: O41.12, O41.12x, O41.121x, O41.122x, O41.123x, O41.129x).
We designated cases meeting definitions for either ‘‘probable” or ‘‘possible” clinical chorioamnionitis as confirmed cases. We defined ‘‘probable clinical chorioamnionitis” as maternal temperature 38 C (100.4F) on one occasion during delivery hospitalization plus one or more of the following: 1) Baseline fetal tachycardia (FHR &gt; 160 bpm for 10 min or longer, excluding accelerations, decelerations and periods of marked variability or, where continuous monitoring is not available, an FHR exceeding 160 bpm during and after at least three consecutive contractions), 2) maternal white blood cell count (WBC)  15,000 per mm3 in the absence of corticosteroids, or 3) definite purulent fluid from the cervical os. We defined ‘‘possible clinical chorioamnionitis” as maternal temperature 38 C on one occasion during delivery hospitalization plus either documented maternal tachycardia (HR &gt; 100 bpm) or uterine tenderness and does not otherwise meet criteria for probable chorioamnionitis. We also evaluated whether cases met the case definition of  ‘‘histologic chorioamnionitis” based on findings from pathological review of the placenta.</t>
  </si>
  <si>
    <t>Table 1</t>
  </si>
  <si>
    <t>Preterm (live births before 37 weeks gestation)</t>
  </si>
  <si>
    <t>table S5</t>
  </si>
  <si>
    <t>Cardiovascular
Central Nervous System
Digestive
Immune
Musculo-Skeletal
Reproductive
Respiratory
Urogenital
Infection</t>
  </si>
  <si>
    <t>Fresh/macerated Stillbirth</t>
  </si>
  <si>
    <t>AOR 0.68 (0.45–1.03)</t>
  </si>
  <si>
    <t xml:space="preserve">&lt; 37 weeks </t>
  </si>
  <si>
    <t>All odds ratios were adjusted by mother’s age, race, number of prenatal visits, influenza vaccination status during pregnancy, number of infants born prematurely, and whether the first prenatal visit occurred before 12 weeks gestation.</t>
  </si>
  <si>
    <t>AOR 1.53 (0.80–2.90)</t>
  </si>
  <si>
    <t>Included in analyses only if patient’s chart included a physician’s diagnosis for chorioamnionitis, fever &gt;100.4 _x0001_F, and 2 of the following clinical ﬁndings: uterine tenderness, maternal tachycardia, fetal tachycardia, maternal leukocytosis, or foul vaginal discharge.</t>
  </si>
  <si>
    <t>All odds ratios were adjusted by mother’s age, race, number of prenatal visits, inﬂuenza vaccination status during pregnancy, number of infants born prematurely, and whether the ﬁrst prenatal visit occurred before 12 weeks gestation.</t>
  </si>
  <si>
    <t>Preterm premature rupture of membranes 36 (3.2%)</t>
  </si>
  <si>
    <t>AOR 1.05 (0.57–1.95)</t>
  </si>
  <si>
    <t xml:space="preserve">PP Endometritis: 9
</t>
  </si>
  <si>
    <t>1.67 (0.51–5.50)
1.05 (0.57–1.95)</t>
  </si>
  <si>
    <t>Preterm premature rupture of membranes 19 (2.9%)</t>
  </si>
  <si>
    <t xml:space="preserve">PP Endometritis: 5
</t>
  </si>
  <si>
    <t>"Women were observed for 20 min post-vaccination for any immediate reaction. Adverse events and serious ad- verse events (SAEs) were collected for women and in- fants at each study visit"
."Overall, there were 5 maternal SAEs: 2 in women in the TdaP5-IPV group, 2 in TdaP3-IPV and one in an unvac- cinated mother. There were 10 SAEs in infants born to women in the TdaP5-IPV group, 4 in infants born to women in the TdaP3-IPV group and 3 in infants in the control group. No SAEs were assessed as related to ma- ternal or infant vaccination."</t>
  </si>
  <si>
    <r>
      <rPr>
        <sz val="10"/>
        <color theme="1"/>
        <rFont val="Arial"/>
        <family val="2"/>
      </rPr>
      <t xml:space="preserve">There were 10 reports of fever in the Northern participants and 7 reports in the Southern participants, and </t>
    </r>
    <r>
      <rPr>
        <b/>
        <sz val="10"/>
        <color theme="1"/>
        <rFont val="Arial"/>
        <family val="2"/>
      </rPr>
      <t>6/10 Northern participants and 0/7 Southern participants were co-administered influenza vaccine.</t>
    </r>
  </si>
  <si>
    <t>Perinatal death
(stillbirth) and Fetal death (trisomy 11q)</t>
  </si>
  <si>
    <r>
      <rPr>
        <b/>
        <u/>
        <sz val="10"/>
        <color theme="1"/>
        <rFont val="Arial"/>
        <family val="2"/>
      </rPr>
      <t>OVERALL</t>
    </r>
    <r>
      <rPr>
        <sz val="10"/>
        <color theme="1"/>
        <rFont val="Arial"/>
        <family val="2"/>
      </rPr>
      <t xml:space="preserve">
1 Perinatal death
(stillbirth)- Resulted in death
1 Fetal death (trisomy 11q)
"two were perinatal deaths, one of which was due to a congenital abnormality, the other unexplained"</t>
    </r>
  </si>
  <si>
    <t>pre-eclampsia and hypertension that required hospitalisation</t>
  </si>
  <si>
    <t>3 event reported total:
2 hypertension
1 pre-eclampsia</t>
  </si>
  <si>
    <t>"Gestational diabetes and antenatal partum haemorrhage" that required hospitalisation</t>
  </si>
  <si>
    <t>1 event reported total</t>
  </si>
  <si>
    <r>
      <rPr>
        <b/>
        <sz val="10"/>
        <color theme="1"/>
        <rFont val="Arial"/>
        <family val="2"/>
      </rPr>
      <t>Overall count: 14</t>
    </r>
    <r>
      <rPr>
        <b/>
        <u/>
        <sz val="10"/>
        <color theme="1"/>
        <rFont val="Arial"/>
        <family val="2"/>
      </rPr>
      <t xml:space="preserve">
</t>
    </r>
    <r>
      <rPr>
        <sz val="10"/>
        <color theme="1"/>
        <rFont val="Arial"/>
        <family val="2"/>
      </rPr>
      <t xml:space="preserve">9 preterm labor events
1 PV bleeding
1 cellulitis
1 Pelvic pain, bacterial vaginitis
1 maternal tachycardia
1 Vaginal vleeding
</t>
    </r>
  </si>
  <si>
    <t>(don't have segrated data for the two groups)
all required hospitalisation</t>
  </si>
  <si>
    <t>An SAE is defined as any untoward medical occurrence that: results in death; is life-threatening; requires inpatient hospitalisation or causes prolongation of existing hospitalisation; results in persistent or significant disability/incapacity; is a congenital anomaly/birth defect; or requires intervention to prevent permanent impairment or damage.</t>
  </si>
  <si>
    <r>
      <rPr>
        <b/>
        <sz val="10"/>
        <color theme="1"/>
        <rFont val="Arial"/>
        <family val="2"/>
      </rPr>
      <t xml:space="preserve">Overall: 4
</t>
    </r>
    <r>
      <rPr>
        <sz val="10"/>
        <color theme="1"/>
        <rFont val="Arial"/>
        <family val="2"/>
      </rPr>
      <t>Threatened labour and group A strep infection(1); Bleeding (1);  Exacerbation of pre-existing condition (2); Infection (coronavirus) (1)</t>
    </r>
  </si>
  <si>
    <t>Pain (mild+moderate+sever): 270</t>
  </si>
  <si>
    <t>pain
swelling
erythema
induration
headache/dizziness
nausea/vomiting
fatigue
myalgia/arthralgia</t>
  </si>
  <si>
    <r>
      <rPr>
        <b/>
        <sz val="10"/>
        <color theme="1"/>
        <rFont val="Arial"/>
        <family val="2"/>
      </rPr>
      <t xml:space="preserve">overall: 936
</t>
    </r>
    <r>
      <rPr>
        <sz val="10"/>
        <color theme="1"/>
        <rFont val="Arial"/>
        <family val="2"/>
      </rPr>
      <t>pain: 647
any swelling: ~60
erythema: ~46
induration (northern arm only): ~39
headache/dizziness:31
nausea/vomiting:22
fatigue:67
myalgia/arthralgia:24</t>
    </r>
  </si>
  <si>
    <t>Pain (mild+moderate+sever): 377</t>
  </si>
  <si>
    <t>Induration as an injection site reaction was collected in the Northern but not the Canterbury arm.</t>
  </si>
  <si>
    <t>infants born &lt; 34 weeks GA</t>
  </si>
  <si>
    <t>Preterm birth is calcualted indirectly through &lt;34 weeks subgroup analysis in table 2: No (n = 2711), Yes (n = 426)</t>
  </si>
  <si>
    <t>RR 1.23 (1.17, 1.28); RD 1.16 (0.9, 1.42)</t>
  </si>
  <si>
    <t>Chorioamnionitis was identified using ICD-9 code 658.41 from the mother’s medical record and was included as an outcome when 1 or more inpatient diagnoses were recorded during the delivery hospitalization.</t>
  </si>
  <si>
    <t>RD in cases per 100 live births</t>
  </si>
  <si>
    <t>Vaccinated 20-24w GA</t>
  </si>
  <si>
    <t>4 (0.6 %)</t>
  </si>
  <si>
    <t>RR  0.32 (0.02–4.38)</t>
  </si>
  <si>
    <t>Fever (&gt;= 38.0C)</t>
  </si>
  <si>
    <t>65 (9.4%)</t>
  </si>
  <si>
    <t>RR 1.32 (0.94–1.84)</t>
  </si>
  <si>
    <t>Pregnancy duration &lt; 37 weeks</t>
  </si>
  <si>
    <t>Numbers were smaller than the number of study participants due to unavailable records within the Dutch Perinatal Registry or local
medical record system.</t>
  </si>
  <si>
    <t>Stiffness in muscles and/or joints 281/722 (38.9 %)
Headache 105/723 (14.5 %)
Fatigue 209/723 (28.9 %)
Pain 450/723 (62.2 %)
Induration 174/723 (24.1 %)
Swelling 123/723 (17.0 %)
Erythema 84/723 (11.6 %)</t>
  </si>
  <si>
    <t>Stiffness in muscles and/or joints RR 0.70 (0.48–1.03)
Headache RR 1.01 (0.40–2.58)
Fatigue RR 0.73 (0.44–1.19)
Pain RR 0.83 (0.61–1.14)
Induration RR 1.50 (0.60–3.75)
Swelling RR 1.27 (0.47–3.40)
Erythema RR 0.54 (0.26–1.13)</t>
  </si>
  <si>
    <t>at the injection site after Tdap vaccination</t>
  </si>
  <si>
    <t>1 missing record for stiffness in muscles and/or joints in study population group.</t>
  </si>
  <si>
    <t>Vaccinated 30-33w GA</t>
  </si>
  <si>
    <t>1 (1.8%)</t>
  </si>
  <si>
    <t>1–4 missing records for all studied variables in reference population group.</t>
  </si>
  <si>
    <t>Stiffness in muscles and/or joints 37/56 (66.1 %)
Headache 8/56 (14.3 %)
Fatigue 25/56 (44.6 %)
Pain 48/56 (85.7 %)
Induration 8/54 (14.8 %)
Swelling 7/54 (13.0 %)
Erythema 13/54 (24.1 %)</t>
  </si>
  <si>
    <t>1–4 missing records for all
studied variables in reference population group.</t>
  </si>
  <si>
    <t>168 (7.0%)</t>
  </si>
  <si>
    <t>Numbers were smaller than the matched 2,424 pregnancies due to unavailable records within the DPR.</t>
  </si>
  <si>
    <t>They do report fever but it is for the whole study population, not only pregnant individuals</t>
  </si>
  <si>
    <t>0.00-0.83 95% CI</t>
  </si>
  <si>
    <t>Birth premature</t>
  </si>
  <si>
    <t>Supplementary table 1</t>
  </si>
  <si>
    <t>0-0.83 95% CI</t>
  </si>
  <si>
    <t>Pre-eclampsia</t>
  </si>
  <si>
    <t>Labour premature 0.16-1.52 95% CI
Leukorrhea 0.04-1.07 95% CI
Vaginal hemorrhage 0.04-1.07 95% CI
Genital infection 0.00-0.83 95% CI
Pruritus genital 0.00-0.83 95% CI
Vaginitis 0.00-0.83 95% CI</t>
  </si>
  <si>
    <t>Reproductive disorders:
Labour premature
Leukorrhea
Vaginal haemorrhage
Genital infection
Pruritus genital
Vaginitis</t>
  </si>
  <si>
    <t>SAEs based on the World Health Organization-Adverse Reactions Terminology dictionary.
An SAE was defined as any AE that: results in death, is life threatening, requires hospitalization or prolongation of existing hospitalization, results in disability, or, is a congenital anomaly/birth defect in the offspring of a study subject.</t>
  </si>
  <si>
    <t>"There were six SAEs in six pregnant subjects"
Vaginal hemorrhage, gastroenteritis, genital infection, and fever. Subtracted 1 premature birth.</t>
  </si>
  <si>
    <t>CI 95% 16.00–27.48</t>
  </si>
  <si>
    <t>Application site disorders, GI disorders, Respiratory system disorders, Reproductive system disorders, General disorders, skin disorders, cardiovascular disorders, resistance mechanism disorders, central and peripheral nervous system disorders, fetal disorders, hearing and vestibular disorders, heart rate and rhythm disorders</t>
  </si>
  <si>
    <t>"A total of 45 pregnant subjects reported 59 AEs"
Results from Table 4. Not disaggregated.</t>
  </si>
  <si>
    <t>Preterm births</t>
  </si>
  <si>
    <r>
      <rPr>
        <b/>
        <sz val="10"/>
        <color theme="1"/>
        <rFont val="Arial"/>
        <family val="2"/>
      </rPr>
      <t xml:space="preserve">unilateral optic neuritis 
</t>
    </r>
    <r>
      <rPr>
        <sz val="10"/>
        <color theme="1"/>
        <rFont val="Arial"/>
        <family val="2"/>
      </rPr>
      <t>"right eye vision blurring and pain on eye movement that had worsened over one week"</t>
    </r>
  </si>
  <si>
    <t>"there was a relative afferent pupillary defect (RAPD) and a color vision defect in right eye too. Visual field testing showed a temporal field defect OD and fundus examination of affected eye showed an optic disc swelling confirmed in optic nerve OCT."</t>
  </si>
  <si>
    <r>
      <rPr>
        <b/>
        <sz val="10"/>
        <color theme="1"/>
        <rFont val="Arial"/>
        <family val="2"/>
      </rPr>
      <t xml:space="preserve">unilateral optic neuritis
</t>
    </r>
    <r>
      <rPr>
        <sz val="10"/>
        <color theme="1"/>
        <rFont val="Arial"/>
        <family val="2"/>
      </rPr>
      <t>"painful left eye blurred vision"</t>
    </r>
  </si>
  <si>
    <t>"The left eye showed a severe color vision defect, RAPD and a nasal field defect in campimetry, fundus examination showed mild optic disc swelling confirmed in optic nerve OCT."</t>
  </si>
  <si>
    <t>Pregnancy loss before 20 weeks gestation</t>
  </si>
  <si>
    <t>Pregnancy loss after 20 weeks gestation</t>
  </si>
  <si>
    <t>Hypertension and preeclampsia</t>
  </si>
  <si>
    <t>Placental abruption: 3
Placenta previa: 1</t>
  </si>
  <si>
    <t>Gestational diabetes</t>
  </si>
  <si>
    <t>Complications of pregnancy: 16
Complications of labor, delivery and puerperium: 21
Ectopic pregnancies: 2</t>
  </si>
  <si>
    <t>Complications of pregnancy:
Amniotic cavity infection +
Oligohydramnios
Hemorrhage in pregnancy
Bacterial toxemia
Fetal hypokinesia
Hemorrhage
Circumvallate placenta
Polyhydramnios
Single umbilical artery
Vaginal hemorrhage
Complications of labor, delivery and puerperium:
Premature labor
Premature rupture of membranes
Labor complication
Breech presentation
Cervical cerclage procedure
Cervical incompetence
Shoulder dystocia
Threatened labor
Postpartum hemorrhage
Postoperative wound complication</t>
  </si>
  <si>
    <t>Each report is medically assessed for seriousness (per regulatory definition10): US Food and Drug Administration (FDA). 21 code of federal regulation part 600.80 postmarketing reporting of adverse experiences.</t>
  </si>
  <si>
    <t>"6.3% (95% CI 5.1%, 7.9%; n = 75) of pregnancy exposure cases reported a serious adverse event (AE)"</t>
  </si>
  <si>
    <t>Local reactions 31
Blood and lymphatic system disorders 11
Gastrointestinal events 9
Respiratory events 9
Nervous system events 15
Musculoskeletal events 13
Other events 26</t>
  </si>
  <si>
    <t>Table 1
"Some women experienced &gt;1 adverse event"</t>
  </si>
  <si>
    <t>&lt; 37w</t>
  </si>
  <si>
    <t>Comes from Table1</t>
  </si>
  <si>
    <t>Fever ≥38 to &lt;39 C (moderate) or ≥39 C (severe)</t>
  </si>
  <si>
    <t>All fever events were moderate</t>
  </si>
  <si>
    <t>AEs and SAEs were defined in accordance with the US FDA</t>
  </si>
  <si>
    <t>No SAEs</t>
  </si>
  <si>
    <t>Pain: 67 (17.9%)
Tenderness: 71 (19%)
Swelling: 21 (5.6%)
Erythema: 21 (5.6%)
Malaise: 39 (10.4%)
Body aches: 29 (7.8%)
Headache: 27 (7.2%)</t>
  </si>
  <si>
    <t>AEs and SAEs were defined in accordance with the US FDA
individual participants are counted in multiple symptom categories</t>
  </si>
  <si>
    <t>Pregnancy loss or stillbirth</t>
  </si>
  <si>
    <t>&lt; 37 weeks gestational age</t>
  </si>
  <si>
    <t>Pregnancy-induced hypertension: 3
Preeclampsia/eclampsia: 2</t>
  </si>
  <si>
    <t>Placenta previa</t>
  </si>
  <si>
    <t>Acute nasopharyngitis: 0
Anemia: 0
Cellulitis: 0
Hematuria: 0
Premature rupture of membranes: 3
Obstetric hemorrhage: 0
Oligohydramnios: 1
Fetal distress: 7
Myoma: 0
Threatened preterm labor: 1
Infection: 0</t>
  </si>
  <si>
    <t xml:space="preserve">A serious adverse event (SAE) or reaction is any untoward medical occurrence that, at any dose:
• Results in death
• Is life-threatening
• Requires hospitalization or prolongation of existing inpatient’s hospitalization
• Results in persistent or significant disability or incapacity
• Is a congenital anomaly or birth defect in the offspring of a study subject
• Medically significant </t>
  </si>
  <si>
    <t>Foetal death (SAE)</t>
  </si>
  <si>
    <t>Premature delivery (AE)</t>
  </si>
  <si>
    <t>Eclampsia: 1
Pre-eclampsia: 0
Gestational hypertension (SAE): 3
Gestational hypertension (AE): 1</t>
  </si>
  <si>
    <t>Gestational diabetes (SAE)</t>
  </si>
  <si>
    <t>Pregnancy Related - 1 month post-vaccination: 12</t>
  </si>
  <si>
    <t>Pregnancy Related - 1 month post-vaccination:
Abdominal pain lower, Afterbirth pain, Anaemia of pregnancy, Arthralgia, Episiotomy, Foetal distress syndrome, Foetal hypokinesia, Gastrooesophageal reflux disease, Morning sickness, Oedema peripheral, Oligohydramnios, Premature rupture of membranes, Prolonged labour, Prolonged pregnancy, Prolonged rupture of membranes, Vulvovaginal injury</t>
  </si>
  <si>
    <t>table S4</t>
  </si>
  <si>
    <t>Pregnancy-related: 6
Non-Pregnancy Related: 0</t>
  </si>
  <si>
    <r>
      <rPr>
        <b/>
        <sz val="10"/>
        <color theme="1"/>
        <rFont val="Arial"/>
        <family val="2"/>
      </rPr>
      <t xml:space="preserve">table S3
Pregnancy-related
</t>
    </r>
    <r>
      <rPr>
        <sz val="10"/>
        <color theme="1"/>
        <rFont val="Arial"/>
        <family val="2"/>
      </rPr>
      <t xml:space="preserve">Abdominal pain lower
Anaemia
Circulatory collapse
Deep vein thrombosis
Gastroenteritis
Haemorrhage in pregnancy
Postpartum haemorrhage
Premature labour
Premature rupture of membranes
Preterm premature rupture of membranes
Prolonged rupture of membranes
Tachycardia
Tachycardia foetal
</t>
    </r>
    <r>
      <rPr>
        <b/>
        <sz val="10"/>
        <color theme="1"/>
        <rFont val="Arial"/>
        <family val="2"/>
      </rPr>
      <t xml:space="preserve">Non-Pregnancy Related
</t>
    </r>
    <r>
      <rPr>
        <sz val="10"/>
        <color theme="1"/>
        <rFont val="Arial"/>
        <family val="2"/>
      </rPr>
      <t>Psychotic disorder
Upper respiratory tract infection</t>
    </r>
  </si>
  <si>
    <t>Non-Pregnancy Related - 1 week post-vaccination: 241
Non-Pregnancy Related - 1 month post-vaccination: 42</t>
  </si>
  <si>
    <t>Eclampsia: 0
Pre-eclampsia: 1
Gestational hypertension (SAE): 4
Gestational hypertension (AE): 8</t>
  </si>
  <si>
    <t>Pregnancy Related - 1 month post-vaccination: 21</t>
  </si>
  <si>
    <t>Pregnancy-related: 15
Non-Pregnancy Related: 2</t>
  </si>
  <si>
    <t>Non-Pregnancy Related - 1 week post-vaccination: 319
Non-Pregnancy Related - 1 month post-vaccination: 41</t>
  </si>
  <si>
    <t>23 (3%)</t>
  </si>
  <si>
    <t>95% CI: 2–5%</t>
  </si>
  <si>
    <t>Temperature ≥38°C</t>
  </si>
  <si>
    <t>discussion section "Though not part of our study objective, no stillbirths or neonatal deaths occurred in our 737 patients."</t>
  </si>
  <si>
    <t>"There were 2 patients admitted to the hospital post vaccination for treatment of a high temperature and 2 others seen in the emergency department regarding local reactions."</t>
  </si>
  <si>
    <t>Pain/soreness at the injection site 95% CI 61–68%
Swelling at the injection site 95% CI 12–17%
Redness at the injection site 95% CI 11–17%
Generalized body aches 95% CI 5–9%</t>
  </si>
  <si>
    <t>Pain/soreness at the injection site 476 (65%)
Swelling at the injection site 108 (15%)
Redness at the injection site 102 (14%)
Generalized body aches 53 (7%)</t>
  </si>
  <si>
    <t>Spontaneous abortion (pregnancy loss &lt; 22 weeks of gestation)</t>
  </si>
  <si>
    <t>Stillbirths (pregnancy loss &gt;= 22 weeks of gestation)</t>
  </si>
  <si>
    <t>Severity Grades 1+2 combined</t>
  </si>
  <si>
    <t>OR  5.30 (95% CI 1.19–23.56)</t>
  </si>
  <si>
    <r>
      <rPr>
        <sz val="10"/>
        <color theme="1"/>
        <rFont val="Arial"/>
        <family val="2"/>
      </rPr>
      <t xml:space="preserve">"All adverse events were graded on a 0–3 severity scale: Grade 0 = absent; Grade 1 = mild,
no impact on daily activity; Grade 2 = moderate, some limitation; </t>
    </r>
    <r>
      <rPr>
        <b/>
        <sz val="10"/>
        <color theme="1"/>
        <rFont val="Arial"/>
        <family val="2"/>
      </rPr>
      <t>Grade 3 = severe, marked
limitation requiring medical care or hospitalization."</t>
    </r>
  </si>
  <si>
    <t>Pain, Fatigue, Loss of appetite, Dizziness, Headache</t>
  </si>
  <si>
    <t>Pain, Erythema, Swelling, Fatigue, Loss of appetite, Dizziness, Headache</t>
  </si>
  <si>
    <t>Spontaneous abortion or miscarriage in the first or second trimester of gestation
"spontaneous abortion 26 days after study vaccination"</t>
  </si>
  <si>
    <t>"Twenty-two SAEs involving 20 (15.0%) women were reported in the Tdap group. Of these, one event occurred within 30 days after study vaccination -a spontaneous abortion 26 days after study vaccination"
"None of the events were vaccine related."</t>
  </si>
  <si>
    <t>Foetal death at or after 20 weeks of gestation (stillbirth)
"Of the stillbirths in the Tdap group, one was due to Rh incompatibility, another due to nuchal cord and 2 were due to unknown cause. The stillbirth in the Td group was due to unknown cause"</t>
  </si>
  <si>
    <t>"Of the stillbirths in the Tdap group, one was due to Rh incompatibility, another due to nuchal cord and 2 were due to unknown cause. The stillbirth in the Td group was due to unknown cause"</t>
  </si>
  <si>
    <r>
      <rPr>
        <sz val="10"/>
        <color theme="1"/>
        <rFont val="Arial"/>
        <family val="2"/>
      </rPr>
      <t xml:space="preserve">Premature delivery. All events 'severe'
</t>
    </r>
    <r>
      <rPr>
        <b/>
        <sz val="10"/>
        <color theme="1"/>
        <rFont val="Arial"/>
        <family val="2"/>
      </rPr>
      <t>Supplement</t>
    </r>
    <r>
      <rPr>
        <sz val="10"/>
        <color theme="1"/>
        <rFont val="Arial"/>
        <family val="2"/>
      </rPr>
      <t>: Summary of unsolicited adverse events by organ class, severity and treatment group.</t>
    </r>
  </si>
  <si>
    <t>1 hypertension (mild)
1 eclampsia (grade 3, severe)</t>
  </si>
  <si>
    <t>Grade 1: Pregnancy induced hypertension
Grade 2: Preeclampsia
Grade 3: HELLP syndrome, or eclampsia,</t>
  </si>
  <si>
    <r>
      <rPr>
        <sz val="10"/>
        <color theme="1"/>
        <rFont val="Arial"/>
        <family val="2"/>
      </rPr>
      <t xml:space="preserve">Cephalo-pelvic disproportion        1
Foetal distress syndrome        4
--------------
Pregnancy, Puerperium, and Perinatal Conditions
19 for Tdap - 14 already counted = 5 left
---------------------
Subtract the outcomes already counted in other areas:
</t>
    </r>
    <r>
      <rPr>
        <sz val="10"/>
        <color rgb="FFFF0000"/>
        <rFont val="Arial"/>
        <family val="2"/>
      </rPr>
      <t>Spontaneous abortion        1</t>
    </r>
    <r>
      <rPr>
        <sz val="10"/>
        <color theme="1"/>
        <rFont val="Arial"/>
        <family val="2"/>
      </rPr>
      <t xml:space="preserve">
Cephalo-pelvic disproportion </t>
    </r>
    <r>
      <rPr>
        <sz val="10"/>
        <color rgb="FFFF0000"/>
        <rFont val="Arial"/>
        <family val="2"/>
      </rPr>
      <t xml:space="preserve">       </t>
    </r>
    <r>
      <rPr>
        <sz val="10"/>
        <color theme="1"/>
        <rFont val="Arial"/>
        <family val="2"/>
      </rPr>
      <t xml:space="preserve">1
</t>
    </r>
    <r>
      <rPr>
        <sz val="10"/>
        <color rgb="FFFF0000"/>
        <rFont val="Arial"/>
        <family val="2"/>
      </rPr>
      <t>Eclampsia        1</t>
    </r>
    <r>
      <rPr>
        <sz val="10"/>
        <color theme="1"/>
        <rFont val="Arial"/>
        <family val="2"/>
      </rPr>
      <t xml:space="preserve">
Foetal distress syndrome        4</t>
    </r>
    <r>
      <rPr>
        <sz val="10"/>
        <color rgb="FFFF0000"/>
        <rFont val="Arial"/>
        <family val="2"/>
      </rPr>
      <t xml:space="preserve">
Postpartum haemorrhage        2
Premature delivery        8
Premature rupture of membranes        0
Prolonged rupture of membranes        0
Retroplacental hematoma        0
Stillbirth        4</t>
    </r>
  </si>
  <si>
    <t>20 participants
22 events</t>
  </si>
  <si>
    <r>
      <rPr>
        <b/>
        <sz val="10"/>
        <color theme="1"/>
        <rFont val="Arial"/>
        <family val="2"/>
      </rPr>
      <t>Serious adverse events: Includes a subset of all adverse events that were determined to be serious.</t>
    </r>
    <r>
      <rPr>
        <b/>
        <u/>
        <sz val="10"/>
        <color theme="1"/>
        <rFont val="Arial"/>
        <family val="2"/>
      </rPr>
      <t xml:space="preserve">
PROTOCOL</t>
    </r>
    <r>
      <rPr>
        <sz val="10"/>
        <color theme="1"/>
        <rFont val="Arial"/>
        <family val="2"/>
      </rPr>
      <t>:
9.2.5. Serious Adverse Events
Serious Adverse Event (SAE): An adverse event or suspected adverse reaction is considered
“serious” if, in the view of either the site principal investigator or sponsor, it results in any of the
following outcomes:
• Death,
• a life-threatening adverse event*,
• inpatient hospitalization or prolongation of existing hospitalization,
• a persistent or significant incapacity or substantial disruption of the ability to conduct
normal life functions, or
• a congenital anomaly/birth defect¥
.
• Important medical events that may not result in death, be life-threatening, or require
hospitalizations may be considered serious when, based upon appropriate medical
judgment they may jeopardize the patient or subject and may require medical or surgical
intervention to prevent one of the outcomes listed in this definition. Examples of such
medical events include allergic bronchospasm requiring intensive treatment in an
emergency room or at home, blood dyscrasias or convulsions that do not result in
inpatient hospitalization, or the development of drug dependency or drug abuse
*Life-threatening adverse event. An adverse event is considered “life-threatening” if, in the view
of either the site principal investigator or sponsor, its occurrence places the patient or subject at
immediate risk of death. It does not include an adverse event that, had it occurred in a more
severe form, might have caused death.
¥
Congenital anomalies will be reported as described under Section 9.1.</t>
    </r>
  </si>
  <si>
    <t>Table 2 summarises the safety data collected in the study period. In the seven days after vaccination, both vaccines were well-tolerated. Mild pain was the most common symptom, experienced by 7% in the Tdap group and 15% in the Td group. No participant in the Tdap group reported a systemic symptom whereas 4 (6%) participants in the Td group experienced at least a mild one.</t>
  </si>
  <si>
    <t>Local reactogenicity events 9
Systemic reactogenicity events 0
Unsolicited adverse events 29</t>
  </si>
  <si>
    <t>Table 2 in main text.
Took values from 'Any severity' since this counts '# of events' instead of N^a which is '# of participants'</t>
  </si>
  <si>
    <t>2 hypertension (1 mild, 1 moderate)</t>
  </si>
  <si>
    <t>Premature rupture of membranes 1
Prolonged rupture of membranes 1
Retroplacental hematoma 1
(all moderate)</t>
  </si>
  <si>
    <r>
      <rPr>
        <sz val="10"/>
        <color theme="1"/>
        <rFont val="Arial"/>
        <family val="2"/>
      </rPr>
      <t xml:space="preserve">Cephalo-pelvic disproportion        0
Foetal distress syndrome        0
---------------
Pregnancy, Puerperium, and Perinatal Conditions
8 for Td - 8 already counted = 0 left
----------------
Subtract the outcomes already counted in other areas:
</t>
    </r>
    <r>
      <rPr>
        <sz val="10"/>
        <color rgb="FFFF0000"/>
        <rFont val="Arial"/>
        <family val="2"/>
      </rPr>
      <t>Spontaneous abortion        0</t>
    </r>
    <r>
      <rPr>
        <sz val="10"/>
        <color theme="1"/>
        <rFont val="Arial"/>
        <family val="2"/>
      </rPr>
      <t xml:space="preserve">
Cephalo-pelvic disproportion        0
</t>
    </r>
    <r>
      <rPr>
        <sz val="10"/>
        <color rgb="FFFF0000"/>
        <rFont val="Arial"/>
        <family val="2"/>
      </rPr>
      <t>Eclampsia        0</t>
    </r>
    <r>
      <rPr>
        <sz val="10"/>
        <color theme="1"/>
        <rFont val="Arial"/>
        <family val="2"/>
      </rPr>
      <t xml:space="preserve">
Foetal distress syndrome        0
</t>
    </r>
    <r>
      <rPr>
        <sz val="10"/>
        <color rgb="FFFF0000"/>
        <rFont val="Arial"/>
        <family val="2"/>
      </rPr>
      <t>Postpartum haemorrhage        0
Premature delivery        4
Premature rupture of membranes        1
Prolonged rupture of membranes        1
Retroplacental hematoma        1
Stillbirth        1</t>
    </r>
  </si>
  <si>
    <t>10 participants
10 events</t>
  </si>
  <si>
    <t>Local reactogenicity events 12
Systemic reactogenicity events 4
Unsolicited adverse events 15</t>
  </si>
  <si>
    <t>Low grade fever</t>
  </si>
  <si>
    <t>Premature delivery</t>
  </si>
  <si>
    <t>(4) Severe pre-eclampsia 
(1) HELLP syndrome
(5) Gestational hypertension</t>
  </si>
  <si>
    <t>Severe pre-eclampsia
HELLP syndrome
Gestational hypertension</t>
  </si>
  <si>
    <t>Premature contractions resulting in hospitalization;
Psychosis at delivery</t>
  </si>
  <si>
    <t>Urinary tract infection</t>
  </si>
  <si>
    <t xml:space="preserve">– Pain
– Swelling
– Redness
– Upper respiratory tract infection
– Rash 
– Itchiness 
– Vertigo 
– Vomiting 
– Chest discomfort
– Oligohydramnios
</t>
  </si>
  <si>
    <r>
      <rPr>
        <b/>
        <sz val="10"/>
        <color theme="1"/>
        <rFont val="Arial"/>
        <family val="2"/>
      </rPr>
      <t xml:space="preserve">Total: 1
</t>
    </r>
    <r>
      <rPr>
        <sz val="10"/>
        <color theme="1"/>
        <rFont val="Arial"/>
        <family val="2"/>
      </rPr>
      <t>Mild: 0 
Moderate: 1 (0.9%) 
Severe: 0</t>
    </r>
  </si>
  <si>
    <t>Mild: 0 % (95% CI 0–3·2)
Moderate: 0.9% (95% CI 0–4·8) 
Severe: 0% (95% CI 0–3·2)</t>
  </si>
  <si>
    <t>Fever was mild if 38–38·4 C, moderate if 38·5–38·9C, and severe if higher than 39C.</t>
  </si>
  <si>
    <t>data was presented as % so calulcated the event count
a
Template_Unadjusted Binary Data for R.xlsx</t>
  </si>
  <si>
    <t xml:space="preserve">supplement table 8 lists out an overall number of maternal and infant SAEs </t>
  </si>
  <si>
    <t>Total: 
Redness: ~14
Swelling: ~11
Tenderness:~107</t>
  </si>
  <si>
    <t>Redness
Swelling
Tenderness</t>
  </si>
  <si>
    <t>caculated the event count from percentages</t>
  </si>
  <si>
    <r>
      <rPr>
        <b/>
        <u/>
        <sz val="10"/>
        <color theme="1"/>
        <rFont val="Arial"/>
        <family val="2"/>
      </rPr>
      <t xml:space="preserve">Total: 1
</t>
    </r>
    <r>
      <rPr>
        <sz val="10"/>
        <color theme="1"/>
        <rFont val="Arial"/>
        <family val="2"/>
      </rPr>
      <t>Mild: 1
Moderate: 0
Severe: 0</t>
    </r>
  </si>
  <si>
    <t>Mild: 0.9% ( 95%CI 0–4·8)
Moderate: 0% (95%CI 0–3·2)
Severe: 0 % ( 95%CI 0–3·2)</t>
  </si>
  <si>
    <t>b
Template_Unadjusted Binary Data for R.xlsx</t>
  </si>
  <si>
    <t>Total: 
Redness: ~13
Swelling: ~14
Tenderness:~110</t>
  </si>
  <si>
    <t>Redness and swelling were mild if 2.5-5 cm, moderate of 5.1-10 cm and severe if more than 10 cm</t>
  </si>
  <si>
    <r>
      <rPr>
        <b/>
        <u/>
        <sz val="10"/>
        <color theme="1"/>
        <rFont val="Arial"/>
        <family val="2"/>
      </rPr>
      <t xml:space="preserve">Total: 3
</t>
    </r>
    <r>
      <rPr>
        <sz val="10"/>
        <color theme="1"/>
        <rFont val="Arial"/>
        <family val="2"/>
      </rPr>
      <t>Mild: 2
Moderate: 1
Severe: 0</t>
    </r>
  </si>
  <si>
    <t>Mild: 1.9% (95%CI 0·2–2·6)
Moderate: 0·9% (95% CI 0–5·1)
Severe: 0·0 (95%CI 0–3·4)</t>
  </si>
  <si>
    <t>c
Template_Unadjusted Binary Data for R.xlsx</t>
  </si>
  <si>
    <t>Total: 
Redness: ~21
Swelling: ~18
Tenderness:~101</t>
  </si>
  <si>
    <t>Spontaneous abortion (SAB) referred to fetal loss occurring before 20 weeks of gestation</t>
  </si>
  <si>
    <t>Stillbirth denoted intrauterine death at or beyond 20 weeks.</t>
  </si>
  <si>
    <t>Preterm birth was characterized by delivery of a live infant prior to 37 completed gestational weeks.</t>
  </si>
  <si>
    <t>Pre-eclampsia: 8
Gestational Hypertension: 6</t>
  </si>
  <si>
    <t>Chorioamnionitis, a polymicrobial inflammatory condition affecting fetal membranes, amniotic cavity/fluid, and placenta, typically results from ascending bacterial infection (Oh et al., 2017). It can manifest at any gestational stage or during delivery, often associated with premature membrane rupture. Diagnosis relies on clinical, microbiological, and/or histopathological criteria. This clinically significant condition frequently precipitates preterm labor and may progress to neonatal sepsis</t>
  </si>
  <si>
    <t>Placenta Praevia: 3
Placental Disorder: 5
Premature Separation Of Placenta: 9</t>
  </si>
  <si>
    <t>Premature Labour: 16-7(SAE)=9
Premature Rupture Of Membranes: 10-4(SAE)=6
Oligohydramnios: 6
Foetal Disorder: 27
Foetal Death: 26-18(SAE)=8
Vaginal Haemorrhage: 7
Neonatal Disorder: 9
Foetal Hypokinesia: 17-12(SAE)=5</t>
  </si>
  <si>
    <t>From supplement, subtracted SAE versions of each outcome to add to that section
 (didn't report "Social circumstances" or "Investigations" categories)</t>
  </si>
  <si>
    <t>The classification of serious adverse events (SAEs) in this study strictly adhered to the Code of Federal Regulations criteria, wherein VAERS reports were categorized as serious upon meeting any of the following clinical endpoints: (1) fatal outcome; (2) hospitalization or prolonged hospital stay; (3) life-threatening condition; or (4) persistent/significant disability/incapacity (Li et al., 2024b).</t>
  </si>
  <si>
    <t>Foetal Hypokinesia: 12
Foetal Death: 18
Premature Rupture Of Membranes: 4
Premature Labour: 7</t>
  </si>
  <si>
    <r>
      <rPr>
        <b/>
        <sz val="10"/>
        <color theme="1"/>
        <rFont val="Arial"/>
        <family val="2"/>
      </rPr>
      <t>General disorders and administration site conditions</t>
    </r>
    <r>
      <rPr>
        <sz val="10"/>
        <color theme="1"/>
        <rFont val="Arial"/>
        <family val="2"/>
      </rPr>
      <t xml:space="preserve">
Injection site pain: 97
Injection Site Nodule: 6
Injected Limb Mobility Decreased: 19
</t>
    </r>
    <r>
      <rPr>
        <b/>
        <sz val="10"/>
        <color theme="1"/>
        <rFont val="Arial"/>
        <family val="2"/>
      </rPr>
      <t>Infections and infestations</t>
    </r>
    <r>
      <rPr>
        <sz val="10"/>
        <color theme="1"/>
        <rFont val="Arial"/>
        <family val="2"/>
      </rPr>
      <t xml:space="preserve">
Urinary Tract Infection: 23
Upper Respiratory Tract Infection: 5
</t>
    </r>
    <r>
      <rPr>
        <b/>
        <sz val="10"/>
        <color theme="1"/>
        <rFont val="Arial"/>
        <family val="2"/>
      </rPr>
      <t>Musculoskeletal and connective tissue disorders</t>
    </r>
    <r>
      <rPr>
        <sz val="10"/>
        <color theme="1"/>
        <rFont val="Arial"/>
        <family val="2"/>
      </rPr>
      <t xml:space="preserve">
Mobility Decreased: 19
Musculoskeletal Pain: 9
Joint Range Of Motion Decreased: 6
</t>
    </r>
    <r>
      <rPr>
        <b/>
        <sz val="10"/>
        <color theme="1"/>
        <rFont val="Arial"/>
        <family val="2"/>
      </rPr>
      <t>Nervous system disorders</t>
    </r>
    <r>
      <rPr>
        <sz val="10"/>
        <color theme="1"/>
        <rFont val="Arial"/>
        <family val="2"/>
      </rPr>
      <t xml:space="preserve">
Guillain-Barre Syndrome: 9
</t>
    </r>
    <r>
      <rPr>
        <b/>
        <sz val="10"/>
        <color theme="1"/>
        <rFont val="Arial"/>
        <family val="2"/>
      </rPr>
      <t>Blood and lymphatic system disorders</t>
    </r>
    <r>
      <rPr>
        <sz val="10"/>
        <color theme="1"/>
        <rFont val="Arial"/>
        <family val="2"/>
      </rPr>
      <t xml:space="preserve">
Thrombocytopenia: 6</t>
    </r>
  </si>
  <si>
    <t>From supplement (didn't report "Social circumstances" or "Investigations" categories)</t>
  </si>
  <si>
    <t>Neonatal Death</t>
  </si>
  <si>
    <t>Small for Gestational Age (growth restriction)</t>
  </si>
  <si>
    <t>Low Birth Weight</t>
  </si>
  <si>
    <t>Apgar Score</t>
  </si>
  <si>
    <t>NICU Admission</t>
  </si>
  <si>
    <t>Congenital Abnormalities</t>
  </si>
  <si>
    <t>Neonatal Sepsis</t>
  </si>
  <si>
    <t>Score (mean/SD or median/IQR)</t>
  </si>
  <si>
    <t>Time point of measurement (e.g., 5 min)</t>
  </si>
  <si>
    <t>Nervous system: 46
Eye: 1142
Ear, face, or neck: 266
Cardiovascular system: 399
Respiratory system: 225
Clefts: 32
Upper gastrointestinal system: 1109
Lower gastrointestinal system: 22
Genital organs: 355
Renal system: 128
Musculoskeletal system: 266
Limb: 116
Integument: 949
Other and unspecified congenital anomalies: 32</t>
  </si>
  <si>
    <r>
      <rPr>
        <b/>
        <sz val="10"/>
        <color theme="1"/>
        <rFont val="Arial"/>
        <family val="2"/>
      </rPr>
      <t xml:space="preserve">Nervous system: </t>
    </r>
    <r>
      <rPr>
        <sz val="10"/>
        <color theme="1"/>
        <rFont val="Arial"/>
        <family val="2"/>
      </rPr>
      <t xml:space="preserve">RR 1.19 (0.78–1.83); aRR 1.35 (0.81–2.24)
</t>
    </r>
    <r>
      <rPr>
        <b/>
        <sz val="10"/>
        <color theme="1"/>
        <rFont val="Arial"/>
        <family val="2"/>
      </rPr>
      <t xml:space="preserve">Eye: </t>
    </r>
    <r>
      <rPr>
        <sz val="10"/>
        <color theme="1"/>
        <rFont val="Arial"/>
        <family val="2"/>
      </rPr>
      <t xml:space="preserve">RR 1.15 (1.06–1.25); aRR 1.17 (1.06–1.29)
</t>
    </r>
    <r>
      <rPr>
        <b/>
        <sz val="10"/>
        <color theme="1"/>
        <rFont val="Arial"/>
        <family val="2"/>
      </rPr>
      <t>Ear, face, or neck:</t>
    </r>
    <r>
      <rPr>
        <sz val="10"/>
        <color theme="1"/>
        <rFont val="Arial"/>
        <family val="2"/>
      </rPr>
      <t xml:space="preserve"> RR 2.00 (1.62–2.46); aRR 2.02 (1.59–2.55)
</t>
    </r>
    <r>
      <rPr>
        <b/>
        <sz val="10"/>
        <color theme="1"/>
        <rFont val="Arial"/>
        <family val="2"/>
      </rPr>
      <t>Cardiovascular system:</t>
    </r>
    <r>
      <rPr>
        <sz val="10"/>
        <color theme="1"/>
        <rFont val="Arial"/>
        <family val="2"/>
      </rPr>
      <t xml:space="preserve"> RR 1.12 (0.97–1.29); aRR 1.12 (0.96–1.31)
</t>
    </r>
    <r>
      <rPr>
        <b/>
        <sz val="10"/>
        <color theme="1"/>
        <rFont val="Arial"/>
        <family val="2"/>
      </rPr>
      <t xml:space="preserve">Respiratory system: </t>
    </r>
    <r>
      <rPr>
        <sz val="10"/>
        <color theme="1"/>
        <rFont val="Arial"/>
        <family val="2"/>
      </rPr>
      <t xml:space="preserve">RR 1.33 (1.09–1.63); aRR 1.34 (1.07–1.68)
</t>
    </r>
    <r>
      <rPr>
        <b/>
        <sz val="10"/>
        <color theme="1"/>
        <rFont val="Arial"/>
        <family val="2"/>
      </rPr>
      <t xml:space="preserve">Clefts: </t>
    </r>
    <r>
      <rPr>
        <sz val="10"/>
        <color theme="1"/>
        <rFont val="Arial"/>
        <family val="2"/>
      </rPr>
      <t xml:space="preserve">RR 1.31 (0.77–2.23); aRR 1.41 (0.78–2.57)
</t>
    </r>
    <r>
      <rPr>
        <b/>
        <sz val="10"/>
        <color theme="1"/>
        <rFont val="Arial"/>
        <family val="2"/>
      </rPr>
      <t>Upper gastrointestinal system:</t>
    </r>
    <r>
      <rPr>
        <sz val="10"/>
        <color theme="1"/>
        <rFont val="Arial"/>
        <family val="2"/>
      </rPr>
      <t xml:space="preserve"> RR 1.79 (1.63–1.97); aRR 1.75 (1.57–1.95)
</t>
    </r>
    <r>
      <rPr>
        <b/>
        <sz val="10"/>
        <color theme="1"/>
        <rFont val="Arial"/>
        <family val="2"/>
      </rPr>
      <t xml:space="preserve">Lower gastrointestinal system: </t>
    </r>
    <r>
      <rPr>
        <sz val="10"/>
        <color theme="1"/>
        <rFont val="Arial"/>
        <family val="2"/>
      </rPr>
      <t xml:space="preserve">RR 0.59 (0.35–0.99); aRR 0.63 (0.36–1.12)
</t>
    </r>
    <r>
      <rPr>
        <b/>
        <sz val="10"/>
        <color theme="1"/>
        <rFont val="Arial"/>
        <family val="2"/>
      </rPr>
      <t xml:space="preserve">Genital organs: </t>
    </r>
    <r>
      <rPr>
        <sz val="10"/>
        <color theme="1"/>
        <rFont val="Arial"/>
        <family val="2"/>
      </rPr>
      <t xml:space="preserve">RR 1.18 (1.01–1.37); aRR 1.19 (1.01–1.42)
</t>
    </r>
    <r>
      <rPr>
        <b/>
        <sz val="10"/>
        <color theme="1"/>
        <rFont val="Arial"/>
        <family val="2"/>
      </rPr>
      <t xml:space="preserve">Renal system: </t>
    </r>
    <r>
      <rPr>
        <sz val="10"/>
        <color theme="1"/>
        <rFont val="Arial"/>
        <family val="2"/>
      </rPr>
      <t xml:space="preserve">RR 1.33 (1.02–1.73); aRR 1.40 (1.04–1.88)
</t>
    </r>
    <r>
      <rPr>
        <b/>
        <sz val="10"/>
        <color theme="1"/>
        <rFont val="Arial"/>
        <family val="2"/>
      </rPr>
      <t xml:space="preserve">Musculoskeletal system: </t>
    </r>
    <r>
      <rPr>
        <sz val="10"/>
        <color theme="1"/>
        <rFont val="Arial"/>
        <family val="2"/>
      </rPr>
      <t xml:space="preserve">RR 1.53 (1.26–1.85); aRR 1.50 (1.21–1.86)
</t>
    </r>
    <r>
      <rPr>
        <b/>
        <sz val="10"/>
        <color theme="1"/>
        <rFont val="Arial"/>
        <family val="2"/>
      </rPr>
      <t>Limb:</t>
    </r>
    <r>
      <rPr>
        <sz val="10"/>
        <color theme="1"/>
        <rFont val="Arial"/>
        <family val="2"/>
      </rPr>
      <t xml:space="preserve"> RR 1.03 (0.79–1.33); aRR 1.13 (0.85–1.52)
</t>
    </r>
    <r>
      <rPr>
        <b/>
        <sz val="10"/>
        <color theme="1"/>
        <rFont val="Arial"/>
        <family val="2"/>
      </rPr>
      <t xml:space="preserve">Integument: </t>
    </r>
    <r>
      <rPr>
        <sz val="10"/>
        <color theme="1"/>
        <rFont val="Arial"/>
        <family val="2"/>
      </rPr>
      <t xml:space="preserve">RR 1.96 (1.76–2.18); aRR 1.98 (1.76–2.23)
</t>
    </r>
    <r>
      <rPr>
        <b/>
        <sz val="10"/>
        <color theme="1"/>
        <rFont val="Arial"/>
        <family val="2"/>
      </rPr>
      <t xml:space="preserve">Other and unspecified congenital anomalies: </t>
    </r>
    <r>
      <rPr>
        <sz val="10"/>
        <color theme="1"/>
        <rFont val="Arial"/>
        <family val="2"/>
      </rPr>
      <t>RR 0.95 (0.59–1.55); aRR 1.09 (0.64–1.85)</t>
    </r>
  </si>
  <si>
    <t>Congenital anomalies at birth through 6 months of age</t>
  </si>
  <si>
    <t>Adjusted for covariates (diabetes, pre-existing hypertension, Medicaid insurance, any hospitalization or emergency department visit from pregnancy start to index date, number of outpatient visits from pregnancy start to index date, number of previous pregnancies, history of pregnancy loss, month of pregnancy start, received other vaccines from pregnancy start to index date, received vaccines containing diphtheria, tetanus toxoid, or pertussis antigens within 1 year before pregnancy, and pre-pregnancy obesity) in the model for each endpoint except for model of congenital anomalies of nervous system where number of outpatient visits from pregnancy start to index date was removed from model because of convergence issues, and models of congenital anomalies of lower gastrointestinal system and other and unspecified congenital anomalies where number of previous pregnancies was removed from model because of convergence issues</t>
  </si>
  <si>
    <t>Nervous system: 38
Eye:973
Ear, face, or neck: 131
Cardiovascular system: 351
Respiratory system: 166
Clefts: 24
Upper gastrointestinal system: 609
Lower gastrointestinal system: 37
Genital organs: 297
Renal system: 95
Musculoskeletal system: 171
Limb: 111
Integument: 477
Other and unspecified congenital anomalies: 33</t>
  </si>
  <si>
    <t>RR 0.87 (0.43–1.74); aRR 0.81 (0.38–1.73)</t>
  </si>
  <si>
    <t>Neonatal death (within 28 days of birth)</t>
  </si>
  <si>
    <t>SGA: 16350
Poor fetal growth: 16,606</t>
  </si>
  <si>
    <t>SGA: 1278
Poor fetal growth: 320</t>
  </si>
  <si>
    <t>SGA: RR 1.07 (0.97–1.18); aRR 1.04 (0.94–1.16)
Poor fetal growth: RR 0.84 (0.73–0.98); aRR 0.83 (0.70–0.98)</t>
  </si>
  <si>
    <t>Small for gestational age SGA was defined based on reference values derived by Talge et al. with a cut-off of &lt; 10th percentile.</t>
  </si>
  <si>
    <t>SGA:
Adjusted for pre-specified covariates (diabetes, pre-existing hypertension [not for preeclampsia/eclampsia], Medicaid insurance, any hospitalization or Emergency Department visit from pregnancy start to index (vaccination) date, number of outpatient visits from pregnancy start to index (vaccination) date) in the model for each primary endpoint.
Further adjusted for matching variables (age at pregnancy start, race/ethnicity, estimated gestational age at index (vaccination) date) and additional covariates (number of previous pregnancies, history of pregnancy loss, calendar month of pregnancy start, received vaccines containing diphtheria, tetanus toxoid, or pertussis antigens within one year before pregnancy) in the model for small for gestational age.</t>
  </si>
  <si>
    <t>1-minute
≤3: 166
≤3: 488
≥7: 15,614 
5-minutes
≤3: 26
4-6: 101
≥7: 16,129</t>
  </si>
  <si>
    <t>Apgar 1-minute score, Apgar 5-minutes score</t>
  </si>
  <si>
    <r>
      <rPr>
        <sz val="10"/>
        <color theme="1"/>
        <rFont val="Arial"/>
        <family val="2"/>
      </rPr>
      <t xml:space="preserve">Supplementary Table 2. Characteristics of Live Born Infants of Tdap Exposed and Unexposed Mothers
</t>
    </r>
    <r>
      <rPr>
        <u/>
        <sz val="10"/>
        <color rgb="FF1155CC"/>
        <rFont val="Arial"/>
        <family val="2"/>
      </rPr>
      <t>https://www.sciencedirect.com/science/article/pii/S0264410X22007563?via%3Dihub</t>
    </r>
    <r>
      <rPr>
        <sz val="10"/>
        <color theme="1"/>
        <rFont val="Arial"/>
        <family val="2"/>
      </rPr>
      <t xml:space="preserve"> 
Apgar 1-minute score, n (%) 			
≤3	166 (1.02)	172 (1.07)	338 (1.04)
4-6	488 (2.98)	479 (2.98)	967 (2.98)
≥7	15,614 (95.50)	15,074 (93.70)	30,688 (94.61)
Missing	82 (0.50)	363 (2.26)	445 (1.37)
Apgar 5-minutes score, n (%) 			
≤3	26 (0.16)	15 (0.09)	41 (0.13)
4-6	101 (0.62)	105 (0.65)	206 (0.64)
≥7	16,129 (98.65)	15,525 (96.50)	31,654 (97.58)
Missing	94 (0.57)	443 (2.75)	537 (1.66)
</t>
    </r>
  </si>
  <si>
    <t>Refer to study #1271</t>
  </si>
  <si>
    <t>SGA: 16088
Poor fetal growth: 16,606</t>
  </si>
  <si>
    <t>SGA: 1172
Poor fetal growth: 368</t>
  </si>
  <si>
    <t>Poor fetal growth:
Adjusted for covariates (diabetes, pre-existing hypertension, Medicaid insurance, any hospitalization or Emergency Department visit from pregnancy start to index (vaccination) date, number of outpatient visits from pregnancy start to index (vaccination) date, number of previous pregnancies, history of pregnancy loss, calendar month of pregnancy start, received other vaccines from pregnancy start to index (vaccination) date, received vaccines containing diphtheria, tetanus toxoid, or pertussis antigens within one year before pregnancy, and pre-pregnancy obesity) in the model for each secondary endpoint except for model of neonatal death where number of outpatient visits from pregnancy start to index (vaccination) date was removed from model due to convergence issues.</t>
  </si>
  <si>
    <t>1-minute
≤3: 172
4-6: 479
≥7: 15,074
5-minutes
≤3: 15
4-6: 105
≥7: 15,525</t>
  </si>
  <si>
    <t>median 9 (range 5 -10)</t>
  </si>
  <si>
    <t>5 min</t>
  </si>
  <si>
    <t>median 9 ( range 6–10)</t>
  </si>
  <si>
    <t>crude RR: 0.97 (95% CI 0.91–1.02)
IPTW-adjusted estimate RR: 0.96(95% CI 0.90–1.02)</t>
  </si>
  <si>
    <t>small for gestational age (&lt; 10th percentile for gestational age- and sex-specific birth weight)</t>
  </si>
  <si>
    <t>Cohort 2 (live birth records only)</t>
  </si>
  <si>
    <t>crude RR: 0.81 (95% CI 0.75–0.87)
IPTW-adjusted estimate RR: 0.82 (95% CI 0.76–0.88)</t>
  </si>
  <si>
    <t>neonatal intensive care unit stay longer than 24 hours</t>
  </si>
  <si>
    <t>RR 0.90 (0.87, 0.93)
aRR 0.87 (0.84, 0.90)</t>
  </si>
  <si>
    <t>Birthweight &lt;10th centile; SGA (defined as a birthweight &lt;10th centile for gestation and sex)</t>
  </si>
  <si>
    <t>OR: 0.711 (0.587,0.861); aOR 0.721 (0.574,0.905)</t>
  </si>
  <si>
    <t>Small for gestational age (SGA)</t>
  </si>
  <si>
    <t>‡ OR = odds ratio, which compares mothers exposed to Tdap with those unexposed. OR &gt; 1 indicates greater likelihood of exposed group having the outcome if p-value &lt; 0.05. § Logistic regression model adjusted for birth status (single live birth, other birth); maternal ethnicity (Maori, Paciﬁc, Asian, NZ European or other); NZ Deprivation Index 2013 (1–10); maternal age (in years); history of antenatal care (total no. of lead maternity carer visits); body mass index (kg/m 2 ); history of chronic disease (yes, no); parity (0, 1+); model of care (DHB, midwife, obstetrician/general practitioner, no lead maternity carer/other); and inﬂuenza vaccination (yes, no).</t>
  </si>
  <si>
    <t>OR 0.755 (0.648,0.880); aOR 0.784 (0.653,0.941)</t>
  </si>
  <si>
    <t>Low birth weight (LBW): 1500 to &lt;2500 g</t>
  </si>
  <si>
    <t>mean 9.537 (0.879) 
unadjusted mean difference 0.005 (−0.015,0.026), 
adjusted mean difference 0.000 (−0.022,0.023)</t>
  </si>
  <si>
    <t>5min</t>
  </si>
  <si>
    <t>Generalized linear model adjusted for birth status (single live birth, other birth); maternal ethnicity (Maori, Paciﬁc, Asian, NZ European or other); NZ Deprivation Index 2013 (1–10); maternal age (in years); history of antenatal care (total no. of lead maternity carer visits); body mass index (kg/m 2 ); history of chronic disease (yes, no); parity (0, 1+); model of care (DHB, midwife, obstetrician/general practitioner, no lead maternity carer/other); and inﬂuenza vaccination (yes, no).</t>
  </si>
  <si>
    <t>OR 0.803 (0.571,1.128); aOR 0.872 (0.599,1.270)</t>
  </si>
  <si>
    <t>Bacterial sepsis of newborn, specified or unspecified</t>
  </si>
  <si>
    <t>mean 9.531 (0.870)</t>
  </si>
  <si>
    <t>RR: 0.98 (95% CI 0.97–1.00)</t>
  </si>
  <si>
    <t>Table 2. Bivariate Analyses Comparing Demographics, Symptoms, and Clinical Course Between Infants &lt;63 Days of Age With Pertussis Born to Women
With or Without Prenatal Tdap Vaccination</t>
  </si>
  <si>
    <t>2/38</t>
  </si>
  <si>
    <t>RR: 1.00 (95% CI 0.92–1.08)</t>
  </si>
  <si>
    <t>Low birth weight (&lt;2500 g)</t>
  </si>
  <si>
    <t>6/48</t>
  </si>
  <si>
    <t>RR: 0.80 (95% CI 0.70–0.91)</t>
  </si>
  <si>
    <r>
      <rPr>
        <sz val="10"/>
        <color theme="1"/>
        <rFont val="Arial"/>
        <family val="2"/>
      </rPr>
      <t xml:space="preserve">Table 3 Results of Multivariate Logistic Regression Models Predicting Hospitalization (Model 1) and ICU Admission (Model 2) Among Infants &lt;63 Days of Age With Pertussis:
</t>
    </r>
    <r>
      <rPr>
        <b/>
        <sz val="10"/>
        <color theme="1"/>
        <rFont val="Arial"/>
        <family val="2"/>
      </rPr>
      <t>Maternal receipt of Tdap vaccine during pregnancy:</t>
    </r>
    <r>
      <rPr>
        <sz val="10"/>
        <color theme="1"/>
        <rFont val="Arial"/>
        <family val="2"/>
      </rPr>
      <t xml:space="preserve">
</t>
    </r>
    <r>
      <rPr>
        <i/>
        <sz val="10"/>
        <color theme="1"/>
        <rFont val="Arial"/>
        <family val="2"/>
      </rPr>
      <t xml:space="preserve">Model 1: Risk of Hospitalization: </t>
    </r>
    <r>
      <rPr>
        <sz val="10"/>
        <color theme="1"/>
        <rFont val="Arial"/>
        <family val="2"/>
      </rPr>
      <t xml:space="preserve">
OR 0.42 (.20–.85)
</t>
    </r>
    <r>
      <rPr>
        <i/>
        <sz val="10"/>
        <color theme="1"/>
        <rFont val="Arial"/>
        <family val="2"/>
      </rPr>
      <t>Mode: 2: Risk of ICU Admission:</t>
    </r>
    <r>
      <rPr>
        <sz val="10"/>
        <color theme="1"/>
        <rFont val="Arial"/>
        <family val="2"/>
      </rPr>
      <t xml:space="preserve">
OR 0.49 (.19–1.23)</t>
    </r>
  </si>
  <si>
    <t>16/306</t>
  </si>
  <si>
    <t>102/343</t>
  </si>
  <si>
    <t>uHR: 0.98 (0.88–1.09)
aHR 0.85 (0.77–0.95)</t>
  </si>
  <si>
    <t>Clinical diagnosis of ASD identified in children during follow-up using health system records</t>
  </si>
  <si>
    <t>Adjustments were made for child’s birth y, gestational age at birth (&lt;37 or ≥37 wk); maternal age, race and/or ethnicity, and education; Medicaid insurance, medical center of delivery, parity, start of prenatal care, and influenza vaccination during pregnancy</t>
  </si>
  <si>
    <r>
      <rPr>
        <b/>
        <u/>
        <sz val="10"/>
        <color theme="1"/>
        <rFont val="Arial"/>
        <family val="2"/>
      </rPr>
      <t xml:space="preserve">Intention-to-treat analysis
</t>
    </r>
    <r>
      <rPr>
        <sz val="10"/>
        <color theme="1"/>
        <rFont val="Arial"/>
        <family val="2"/>
      </rPr>
      <t xml:space="preserve">RR (95% CI)
0.89 (0.81–0.97)
RD (95% CI)
−0.25 (−0.42 to −0.07)
</t>
    </r>
    <r>
      <rPr>
        <b/>
        <u/>
        <sz val="10"/>
        <color theme="1"/>
        <rFont val="Arial"/>
        <family val="2"/>
      </rPr>
      <t xml:space="preserve">As-treated analysis
</t>
    </r>
    <r>
      <rPr>
        <sz val="10"/>
        <color theme="1"/>
        <rFont val="Arial"/>
        <family val="2"/>
      </rPr>
      <t>RR (95% CI)        
0.79 (0.72–0.87)
RD (95% CI)
−0.50 (−0.70 to −0.30)</t>
    </r>
    <r>
      <rPr>
        <b/>
        <u/>
        <sz val="10"/>
        <color theme="1"/>
        <rFont val="Arial"/>
        <family val="2"/>
      </rPr>
      <t xml:space="preserve">
As-treated analysis with inclusion of concomitant vaccin</t>
    </r>
    <r>
      <rPr>
        <sz val="10"/>
        <color theme="1"/>
        <rFont val="Arial"/>
        <family val="2"/>
      </rPr>
      <t>ations
RR (95% CI)
0.81 (0.74–0.89)
*As-treated analysis with inclusion of influenza and COVID-19 vaccination during pregnancy as time-varying covariates.</t>
    </r>
  </si>
  <si>
    <t>Based on gestational age and birth weight registered in Medical Birth Register</t>
  </si>
  <si>
    <r>
      <rPr>
        <b/>
        <u/>
        <sz val="10"/>
        <color theme="1"/>
        <rFont val="Arial"/>
        <family val="2"/>
      </rPr>
      <t xml:space="preserve">Intention-to-treat analysis
</t>
    </r>
    <r>
      <rPr>
        <sz val="10"/>
        <color theme="1"/>
        <rFont val="Arial"/>
        <family val="2"/>
      </rPr>
      <t xml:space="preserve">RR (95% CI)
0.92 (0.86–0.99)
RD (95% CI)
−0.27 (−0.49 to −0.04)
</t>
    </r>
    <r>
      <rPr>
        <b/>
        <u/>
        <sz val="10"/>
        <color theme="1"/>
        <rFont val="Arial"/>
        <family val="2"/>
      </rPr>
      <t xml:space="preserve">As-treated analysis
</t>
    </r>
    <r>
      <rPr>
        <sz val="10"/>
        <color theme="1"/>
        <rFont val="Arial"/>
        <family val="2"/>
      </rPr>
      <t>RR (95% CI)        
0.74 (0.69–0.79)
RD (95% CI)
−1.05 (−1.31 to −0.80)</t>
    </r>
    <r>
      <rPr>
        <b/>
        <u/>
        <sz val="10"/>
        <color theme="1"/>
        <rFont val="Arial"/>
        <family val="2"/>
      </rPr>
      <t xml:space="preserve">
As-treated analysis with inclusion of concomitant vaccin</t>
    </r>
    <r>
      <rPr>
        <sz val="10"/>
        <color theme="1"/>
        <rFont val="Arial"/>
        <family val="2"/>
      </rPr>
      <t>ations
RR (95% CI)
0.75 (0.70–0.81)
*As-treated analysis with inclusion of influenza and COVID-19 vaccination during pregnancy as time-varying covariates.</t>
    </r>
  </si>
  <si>
    <r>
      <rPr>
        <sz val="10"/>
        <color theme="1"/>
        <rFont val="Arial"/>
        <family val="2"/>
      </rPr>
      <t xml:space="preserve">Low birthweight &lt;2500 g
</t>
    </r>
    <r>
      <rPr>
        <i/>
        <sz val="10"/>
        <color theme="1"/>
        <rFont val="Arial"/>
        <family val="2"/>
      </rPr>
      <t>Suppl</t>
    </r>
    <r>
      <rPr>
        <sz val="10"/>
        <color theme="1"/>
        <rFont val="Arial"/>
        <family val="2"/>
      </rPr>
      <t>: Based on birth weight registered in Medical Birth Register: 
≤ 2500g, &gt; 2500g</t>
    </r>
  </si>
  <si>
    <r>
      <rPr>
        <b/>
        <u/>
        <sz val="10"/>
        <color theme="1"/>
        <rFont val="Arial"/>
        <family val="2"/>
      </rPr>
      <t xml:space="preserve">As-treated analysis
</t>
    </r>
    <r>
      <rPr>
        <sz val="10"/>
        <color theme="1"/>
        <rFont val="Arial"/>
        <family val="2"/>
      </rPr>
      <t xml:space="preserve">IRR (95% CI)
0.33 (0.24 to 0.45)
IRD per 100 000 (95% CI))
-118 (-154 to -82)
</t>
    </r>
    <r>
      <rPr>
        <b/>
        <u/>
        <sz val="10"/>
        <color theme="1"/>
        <rFont val="Arial"/>
        <family val="2"/>
      </rPr>
      <t xml:space="preserve">
</t>
    </r>
    <r>
      <rPr>
        <sz val="10"/>
        <color theme="1"/>
        <rFont val="Arial"/>
        <family val="2"/>
      </rPr>
      <t>VE (95% CI)
NR
*Vaccine effectiveness was not estimated for safety outcomes.</t>
    </r>
  </si>
  <si>
    <t>All-cause neonatal mortality. Only one infant died from pertussis during the study period</t>
  </si>
  <si>
    <r>
      <rPr>
        <sz val="10"/>
        <color rgb="FF000000"/>
        <rFont val="Arial"/>
        <family val="2"/>
      </rPr>
      <t xml:space="preserve">reported data for </t>
    </r>
    <r>
      <rPr>
        <b/>
        <sz val="10"/>
        <color rgb="FF000000"/>
        <rFont val="Arial"/>
        <family val="2"/>
      </rPr>
      <t xml:space="preserve">All infants
</t>
    </r>
    <r>
      <rPr>
        <b/>
        <sz val="10"/>
        <color rgb="FFFF0000"/>
        <rFont val="Arial"/>
        <family val="2"/>
      </rPr>
      <t>Only one infant died from pertussis during the study period</t>
    </r>
  </si>
  <si>
    <r>
      <rPr>
        <b/>
        <u/>
        <sz val="10"/>
        <color theme="1"/>
        <rFont val="Arial"/>
        <family val="2"/>
      </rPr>
      <t xml:space="preserve">As-treated analysis
</t>
    </r>
    <r>
      <rPr>
        <sz val="10"/>
        <color theme="1"/>
        <rFont val="Arial"/>
        <family val="2"/>
      </rPr>
      <t>IRR (95% CI)
0.84 (0.80 to 0.88)
IRD per 100 000 (95% CI))
-624 (-787 to -460)
VE (95% CI)
NR
*Vaccine effectiveness was not estimated for safety outcomes.</t>
    </r>
  </si>
  <si>
    <t>NICU/PICU admission 
Coding system: SKS
NABB, NABE</t>
  </si>
  <si>
    <r>
      <rPr>
        <b/>
        <u/>
        <sz val="10"/>
        <color theme="1"/>
        <rFont val="Arial"/>
        <family val="2"/>
      </rPr>
      <t xml:space="preserve">As-treated analysis
</t>
    </r>
    <r>
      <rPr>
        <sz val="10"/>
        <color theme="1"/>
        <rFont val="Arial"/>
        <family val="2"/>
      </rPr>
      <t xml:space="preserve">IRR (95% CI)
0.89 (0.86 to 0.92)
IRD per 100 000 (95% CI))
-725 (-952 to -498)	
</t>
    </r>
    <r>
      <rPr>
        <b/>
        <u/>
        <sz val="10"/>
        <color theme="1"/>
        <rFont val="Arial"/>
        <family val="2"/>
      </rPr>
      <t xml:space="preserve">
</t>
    </r>
    <r>
      <rPr>
        <sz val="10"/>
        <color theme="1"/>
        <rFont val="Arial"/>
        <family val="2"/>
      </rPr>
      <t>VE (95% CI)
NR
*Vaccine effectiveness was not estimated for safety outcomes.</t>
    </r>
  </si>
  <si>
    <r>
      <rPr>
        <sz val="10"/>
        <color theme="1"/>
        <rFont val="Arial"/>
        <family val="2"/>
      </rPr>
      <t xml:space="preserve">Major congenital malformations
</t>
    </r>
    <r>
      <rPr>
        <b/>
        <sz val="10"/>
        <color theme="1"/>
        <rFont val="Arial"/>
        <family val="2"/>
      </rPr>
      <t>Congenital malformation (3)</t>
    </r>
    <r>
      <rPr>
        <sz val="10"/>
        <color theme="1"/>
        <rFont val="Arial"/>
        <family val="2"/>
      </rPr>
      <t xml:space="preserve">
ICD-10	
Q, D181A, D215, D821, P350, P351, P371
</t>
    </r>
    <r>
      <rPr>
        <b/>
        <sz val="10"/>
        <color theme="1"/>
        <rFont val="Arial"/>
        <family val="2"/>
      </rPr>
      <t>Excluding</t>
    </r>
    <r>
      <rPr>
        <sz val="10"/>
        <color theme="1"/>
        <rFont val="Arial"/>
        <family val="2"/>
      </rPr>
      <t xml:space="preserve">: Q078D, Q078G, Q101-Q105, Q135, Q170-Q175, Q179-Q182, Q184-Q187, Q189, Q211C, Q246, Q254E, Q261, Q314, Q318H, Q320, Q322, Q331, Q357, Q381, Q382, Q385B, Q400, Q401, Q430, Q444, Q458B, Q501, Q502, Q505, Q523, Q525, Q527, Q53, Q544, Q552F, Q552B, Q610, Q627, Q633, Q653-Q656, Q658, Q659, Q661-, Q669, Q670-Q675, Q678, Q680, Q682A, Q683, Q684, Q685, Q740G, Q752, Q753, Q760, Q764L, Q765, Q766A-Q766C, Q767C, Q825, Q833, Q845, Q846, Q899, Q95
</t>
    </r>
  </si>
  <si>
    <t>RR: 0.84 (95% CI 0.80 to 0.88)
IRD per 100,000: -624 (-787 to -460)</t>
  </si>
  <si>
    <t>adjusted Hazard ratio = 1.00, 95% confidence interval: 0.88,1.14)</t>
  </si>
  <si>
    <t>ADHD was defined by 2 or more clinical diagnoses on
different dates or any 1 diagnosis with 2 or more dispensed
ADHD medications after the child turned 3 years of age,
recorded in the EMR during January 1, 2014–December
31, 2018 (International Classification of Diseases, Ninth
Revision (ICD-9), codes 314.0, 314.1, 314.2, 314.8, and
314.9; International Classification of Diseases, Tenth Revi-
sion (ICD-10), codes F90.0, F90.1, F90.2, F90.8, and F90.9;
ADHD medications: amphetamine aspartate, amphetamine
sulfate, dextroamphetamine aspartate, dextroamphetamine
sulfate, and methylphenidate hydrochloride).</t>
  </si>
  <si>
    <t>"We used propensity score analyses with inverse probability of treat-
ment weighting (IPTW) to adjust for potential confounding."
" The ADHD incidence rate was 3.41
per 1,000 person-years in the Tdap-vaccinated women and 3.93 per 1,000 person-years in the unvaccinated
(hazard ratio = 1.01, 95% confidence interval: 0.88, 1.16). The IPTW-adjusted analyses showed no association
between prenatal Tdap vaccination and ADHD in offspring (hazard ratio = 1.00, 95% confidence interval: 0.88,
1.14)."</t>
  </si>
  <si>
    <t>As noted in Table 6 key</t>
  </si>
  <si>
    <t>Intrauterine growth restriction/poor fetal growth: 5
Small for gestational age: 2</t>
  </si>
  <si>
    <t>1 min: mean 8.8 (SD 1.1)
5 min: mean 9.5 (SD 0.6)</t>
  </si>
  <si>
    <t>1, 5 min</t>
  </si>
  <si>
    <t>2.6% (1.2–5.0)</t>
  </si>
  <si>
    <t>Live infant congenital anomaly</t>
  </si>
  <si>
    <t>Sepsis neonatal (10040049)</t>
  </si>
  <si>
    <t>Intrauterine growth restriction/poor fetal growth: 2
Small for gestational age: 2</t>
  </si>
  <si>
    <t>1 min: mean 8.8 (SD 1.2)
5 min: mean 9.5 (SD 0.6)</t>
  </si>
  <si>
    <t>2.3% (1.0–4.5)</t>
  </si>
  <si>
    <t>Incidence proportion per 1000 (95% CI)
0.00 (0.00; 3.08)</t>
  </si>
  <si>
    <t>While the cumulative incidence
of neonatal death was 6.35 cases per 1000 persons in the
unexposed cohort, there were no cases in the exposed cohort.</t>
  </si>
  <si>
    <t>Incidence proportion per 1000 (99% CI) 57.55 (41.27; 77.92)</t>
  </si>
  <si>
    <t>Birth weight &lt;10th percentile for gestational age</t>
  </si>
  <si>
    <t>Incidence per 1000 (95% CI)
4.17 (1.35; 9.73)</t>
  </si>
  <si>
    <t>Incidence proportion per 1000 (95% CI)
6.35 (2.74; 12.52)</t>
  </si>
  <si>
    <t>Incidence proportion per 1000 (99% CI) 49.25 (34.63; 67.77)</t>
  </si>
  <si>
    <t>Incidence per 1000 (95% CI)
17.47 (10.95; 26.46)</t>
  </si>
  <si>
    <t>Tdap (0-13wks GA)</t>
  </si>
  <si>
    <t>RR: 0.68 (0.49–0.95)
aRR: 0.71 (0.51–0.99)
Multivariable models adjusted for maternal age at conception, marital status, military rank, military service branch, and receipt of vaccines not routinely recommended in pregnancy</t>
  </si>
  <si>
    <t>RR: 1.13 (0.80–1.58) 
aRR: 1.15 (0.82–1.61)
Multivariable models adjusted for maternal age at conception, marital status, military rank, military service branch, and receipt of vaccines not routinely recommended in pregnancy
Multivariable models additionally adjusted for infant birth year</t>
  </si>
  <si>
    <r>
      <rPr>
        <sz val="10"/>
        <color theme="1"/>
        <rFont val="Arial"/>
        <family val="2"/>
      </rPr>
      <t xml:space="preserve">Table 3
Any Major Structural Birth Defect
Major birth defects were selected for inclusion in analyses based on definitions from the </t>
    </r>
    <r>
      <rPr>
        <b/>
        <sz val="10"/>
        <color theme="1"/>
        <rFont val="Arial"/>
        <family val="2"/>
      </rPr>
      <t>Vaccine Safety Datalink</t>
    </r>
    <r>
      <rPr>
        <sz val="10"/>
        <color theme="1"/>
        <rFont val="Arial"/>
        <family val="2"/>
      </rPr>
      <t xml:space="preserve"> and the </t>
    </r>
    <r>
      <rPr>
        <b/>
        <sz val="10"/>
        <color theme="1"/>
        <rFont val="Arial"/>
        <family val="2"/>
      </rPr>
      <t xml:space="preserve">National Birth Defects Prevention Network </t>
    </r>
    <r>
      <rPr>
        <sz val="10"/>
        <color theme="1"/>
        <rFont val="Arial"/>
        <family val="2"/>
      </rPr>
      <t>[32,33], in combination with input from a physician (A.S.C.) and a certified medical coder (see Supplementary Table 1 for ICD-9/10-CM codes and details); categories of birth defects required relevant diagnoses in the first year of life, either on one inpatient record or two outpatient records on different days.</t>
    </r>
  </si>
  <si>
    <t>Tdap (27-36wks GA)</t>
  </si>
  <si>
    <t>RR: 0.69 (0.62–0.77)
aRR: 0.69 (0.61–0.77)
Multivariable models adjusted for maternal age at conception, marital status, military rank, military service branch, and receipt of vaccines not routinely recommended in pregnancy</t>
  </si>
  <si>
    <t>Tdap (Total)</t>
  </si>
  <si>
    <r>
      <rPr>
        <sz val="10"/>
        <color theme="1"/>
        <rFont val="Arial"/>
        <family val="2"/>
      </rPr>
      <t xml:space="preserve">Fig. 1. Study population flowchart detailing pregnancies and exclusions among active duty U.S. military women, Department of Defense Birth and Infant Health Research
Program, 2006–2014.
</t>
    </r>
    <r>
      <rPr>
        <b/>
        <sz val="10"/>
        <color theme="1"/>
        <rFont val="Arial"/>
        <family val="2"/>
      </rPr>
      <t xml:space="preserve">103,729 No Tdap vaccine exposure during mother’s 
</t>
    </r>
  </si>
  <si>
    <t>mean GA: 39.36 wks</t>
  </si>
  <si>
    <t>mean GA: 39 wks</t>
  </si>
  <si>
    <t>Values from Fig. 1</t>
  </si>
  <si>
    <t>Apgar &lt; 7
Relative Risks (RR) were estimated using a Poisson regression with robust variance with the general estimating equation method; stabilized inverse probability weights were applied in both regression models.</t>
  </si>
  <si>
    <t>aRR 0.95(0.75–1.21)</t>
  </si>
  <si>
    <t>Neonatal sepsis
ICD-10-CM diagnosis codes
P36, P36.x. P36.xx, A40, A40.x, A41, A41.x         
771.8, 771.81, 771.89, 995.91, 995.92</t>
  </si>
  <si>
    <t>Neonatal sepsis
Relative Risks (RR) were estimated using a Poisson regression with robust variance with the general estimating equation method; stabilized inverse probability weights were applied in both regression models.</t>
  </si>
  <si>
    <t>aRR 1.07 (0.90–1.28)</t>
  </si>
  <si>
    <t>Early Neonatal death(&lt; =7 days after birth) and 
Infant death (&gt;7 days after birth)</t>
  </si>
  <si>
    <t>table S6</t>
  </si>
  <si>
    <t>mean 10 (SD 1)</t>
  </si>
  <si>
    <t>mean 9 (SD 2)</t>
  </si>
  <si>
    <t>0.89 (0.55–1.46)</t>
  </si>
  <si>
    <t>&lt;10th percentile</t>
  </si>
  <si>
    <t xml:space="preserve">61 LBW
2 VLBW
</t>
  </si>
  <si>
    <t>AOR
0.76 (0.51–1.14)
0.24 (0.05–1.20)</t>
  </si>
  <si>
    <t>LBW: &lt;2500g
VLBW: &lt;1500g</t>
  </si>
  <si>
    <t>Score &lt; 8</t>
  </si>
  <si>
    <t>0.78 (0.56–1.08)</t>
  </si>
  <si>
    <t>Non-mutually exclusive: Preterm, Transient tachypnea of the newborn, anemia, apnea, bradycardia, and or jaundice</t>
  </si>
  <si>
    <t xml:space="preserve">Based on infants admitted into NICU; percentages do not add up to 100% as an infant may be admitted for more than one reason.
All odds ratios were adjusted by mother’s age, race, number of prenatal visits, influenza vaccination status during pregnancy, number of infants born prematurely, and whether the first prenatal visit occurred before 12 weeks gestation. 
</t>
  </si>
  <si>
    <t>AOR 0.80 (0.38–1.67)</t>
  </si>
  <si>
    <t>Non-mutually exclusive: spina biﬁda, transposition of great arteries, tetralogy of Fallot, atrioventricular septal defect, cleft palate, cleft lip, rectal and large intestinal atresia/stenosis, reduction deformity of upper limbs, gastroschisis, and/or diaphragmatic hernia.</t>
  </si>
  <si>
    <t xml:space="preserve">All odds ratios were adjusted by mother’s age, race, number of prenatal visits, influenza vaccination status during pregnancy, number of infants born prematurely, and whether the first prenatal visit occurred before 12 weeks gestation. </t>
  </si>
  <si>
    <t>59 LBW
12 LBW</t>
  </si>
  <si>
    <t>RR 1.06 (0.91, 1.23); RD 0.03 (0.05, 0.10)</t>
  </si>
  <si>
    <t>ICD-9 codes 771.8, 771.81, 995.92, &amp; 771.89.
They were identified using ICD-9-CM codes associated with an infant’s first hospitalization and subsequent hospitalizations if admission occurred within 3 days following discharge as described above.</t>
  </si>
  <si>
    <t>mean 8.48 (SD 1.24) (range 6–9)</t>
  </si>
  <si>
    <t>Fifth minute Apgar score</t>
  </si>
  <si>
    <t>Fetal growth restriction</t>
  </si>
  <si>
    <t>Low birthweight (3.3–&lt;5.5 lbs): 5
Very low birthweight (&lt;3.3 lbs): 0</t>
  </si>
  <si>
    <t>Low birth weight was defined as &lt;5.5 lbs, very low birth weight as &lt;3.3 lbs</t>
  </si>
  <si>
    <t>"there were no instances of infants with very low birth weight."</t>
  </si>
  <si>
    <t>Normal (&gt;7 after 5 minutes): 105
Low (5–7 after 5 minutes): 2</t>
  </si>
  <si>
    <t>APGAR scores were considered normal if they were &gt;7 at 5 minutes post-birth.</t>
  </si>
  <si>
    <t>"Congenital deafness: 1
Patent foramen ovale with peripheral pulmonic stenosis: 1</t>
  </si>
  <si>
    <t>Death</t>
  </si>
  <si>
    <t>Small for gestational age: 1
Intrauterine growth restriction: 0</t>
  </si>
  <si>
    <t>Small for gestational age (&lt;10th percentile for gestational age)</t>
  </si>
  <si>
    <t>&lt; 2000 g</t>
  </si>
  <si>
    <t>1 min: mean 8.8 (SD 0.6)
5 min: mean 9.8 (SD 0.5)</t>
  </si>
  <si>
    <t>1 min
5 min</t>
  </si>
  <si>
    <t>Congenital anomaly or birth defect in the offspring of subject</t>
  </si>
  <si>
    <t>1-minute apgar &lt; 7</t>
  </si>
  <si>
    <t>From baseline characteristics table</t>
  </si>
  <si>
    <t>Defined as any structural or chromosomal abnormality diagnosed before six years of age. All abnormalities of body structure or function in the embryo, foetus, or neonate, whether detected at birth or not and that were of prenatal origin.
Reported BDs included two minor structural defects and one undetermined defect (supplement)</t>
  </si>
  <si>
    <t>Trigoncephaly</t>
  </si>
  <si>
    <t>2 from the Boostrix-IPV cohort (hypospadias, tongue tie)</t>
  </si>
  <si>
    <t>"A total of 896 infants were followed (719 in cohort 1 and 177
infants in cohort 2). Seven infants died (0.70%), of which five were
vaccinated and two were unvaccinated (Table 1); according to the
death certificate, deaths were due to the following causes: fetal
death (n = 3), septic shock due to jejunal atresia (n = 1), cardiogenic
shock due to heart failure (n = 1), central apnea due to bronchiolitis
(n = 1) and acute respiratory failure due to bronchiolitis (n = 1)."</t>
  </si>
  <si>
    <r>
      <rPr>
        <b/>
        <sz val="10"/>
        <color theme="1"/>
        <rFont val="Arial"/>
        <family val="2"/>
      </rPr>
      <t>trimester 1:</t>
    </r>
    <r>
      <rPr>
        <sz val="10"/>
        <color theme="1"/>
        <rFont val="Arial"/>
        <family val="2"/>
      </rPr>
      <t xml:space="preserve"> 73</t>
    </r>
    <r>
      <rPr>
        <b/>
        <sz val="10"/>
        <color theme="1"/>
        <rFont val="Arial"/>
        <family val="2"/>
      </rPr>
      <t xml:space="preserve">
trimester 2/3</t>
    </r>
    <r>
      <rPr>
        <sz val="10"/>
        <color theme="1"/>
        <rFont val="Arial"/>
        <family val="2"/>
      </rPr>
      <t>: 259</t>
    </r>
  </si>
  <si>
    <r>
      <rPr>
        <b/>
        <sz val="10"/>
        <color theme="1"/>
        <rFont val="Arial"/>
        <family val="2"/>
      </rPr>
      <t>trimester 1</t>
    </r>
    <r>
      <rPr>
        <sz val="10"/>
        <color theme="1"/>
        <rFont val="Arial"/>
        <family val="2"/>
      </rPr>
      <t xml:space="preserve">: </t>
    </r>
    <r>
      <rPr>
        <sz val="10"/>
        <color rgb="FFFF0000"/>
        <rFont val="Arial"/>
        <family val="2"/>
      </rPr>
      <t>10215</t>
    </r>
    <r>
      <rPr>
        <sz val="10"/>
        <color theme="1"/>
        <rFont val="Arial"/>
        <family val="2"/>
      </rPr>
      <t xml:space="preserve">
</t>
    </r>
    <r>
      <rPr>
        <b/>
        <sz val="10"/>
        <color theme="1"/>
        <rFont val="Arial"/>
        <family val="2"/>
      </rPr>
      <t>trimester 2/3</t>
    </r>
    <r>
      <rPr>
        <sz val="10"/>
        <color theme="1"/>
        <rFont val="Arial"/>
        <family val="2"/>
      </rPr>
      <t>: 2217</t>
    </r>
  </si>
  <si>
    <t>3 (congenital anomaly and pneumonia, neonatal anoxia, prematurity) in the Tdap group
"Five infant deaths (3.9%) occurred with 3 (congenital anomaly and pneumonia, neonatal anoxia, prematurity) in the Tdap group and 2 (acute respiratory infection, prematurity, 3.0%) in the Td group. None of the events reported in either group were determined to be related to study product"</t>
  </si>
  <si>
    <t>2 particiapnts
4 events</t>
  </si>
  <si>
    <t xml:space="preserve">Atrial septal defect        1
Cleft lip and palate        1
Haemangioma        1
Polydactyly        1
</t>
  </si>
  <si>
    <t>Atrial septal defect, Cleft lip and palate</t>
  </si>
  <si>
    <t>2 (acute respiratory infection, prematurity, 3.0%) in the Td group
"Five infant deaths (3.9%) occurred with 3 (congenital anomaly and pneumonia, neonatal anoxia, prematurity) in the Tdap group and 2 (acute respiratory infection, prematurity, 3.0%) in the Td group. None of the events reported in either group were determined to be related to study product"</t>
  </si>
  <si>
    <t>ADHD incidence rate in number of cases per 1000 person years:
Unvaccinated: 3.93
Vaccinated: 3.41
uHR: 1.10 (0.88-1.16)
IPTW-Adjusted HR: 1 (0.88-1.14)</t>
  </si>
  <si>
    <t>Incidence of ADHD and Associations Between Tdap Vaccination During Pregnancy and ADHD Among Children Born at Kaiser Permanente Southern California Hospitals, 2011–2014</t>
  </si>
  <si>
    <t>The adjusted model controlled for child’s birth year, child’s sex, gestational age at birth (&lt;37 weeks or 37 weeks), maternal age, maternal ≥ race/ethnicity, maternal education, maternal history of ADHD diagnosis, Medicaid insurance, medical center of delivery, parity, time of prenatal care initiation, an emergency department visit during pregnancy, and influenza vaccination during pregnancy.</t>
  </si>
  <si>
    <t>–  2 Severe birth asphyxia (APGAR score at 1 min = 0–3)  
– Mild to moderate birth asphyxia (APGAR score at 1 min = 4–7) 10 (2.7) 6.1</t>
  </si>
  <si>
    <t>Prolonged hospitalization after birth - Defined as hospitalization &gt;5 days after birth as a result of an illness.</t>
  </si>
  <si>
    <t>One cleft lip and cleft palate and one imperforated anus.</t>
  </si>
  <si>
    <r>
      <rPr>
        <b/>
        <sz val="10"/>
        <color theme="1"/>
        <rFont val="Arial"/>
        <family val="2"/>
      </rPr>
      <t>crude OR:</t>
    </r>
    <r>
      <rPr>
        <sz val="10"/>
        <color theme="1"/>
        <rFont val="Arial"/>
        <family val="2"/>
      </rPr>
      <t xml:space="preserve"> 0.92 (95% CI 0.84–1.01)
</t>
    </r>
    <r>
      <rPr>
        <b/>
        <sz val="10"/>
        <color theme="1"/>
        <rFont val="Arial"/>
        <family val="2"/>
      </rPr>
      <t>aOR:</t>
    </r>
    <r>
      <rPr>
        <sz val="10"/>
        <color theme="1"/>
        <rFont val="Arial"/>
        <family val="2"/>
      </rPr>
      <t xml:space="preserve"> 0.93 (95%CI 0.85–1.03)</t>
    </r>
  </si>
  <si>
    <t>"infants with hospitalizations or deaths within the first 6 months of life"
"For infants with &gt;1 hospitalization, the first hospitalization was selected for each category (ie, first all-cause hospitalization, first respiratory hospitalization)."</t>
  </si>
  <si>
    <t>Adjusting for pregnancy complications, adequacy of prenatal care, smoking during pregnancy, race, maternal age, infant DTaP receipt before event, length of birth hospitalization in days, and gestational age at delivery in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</si>
</sst>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0"/>
      <color rgb="FF000000"/>
      <name val="Arial"/>
      <scheme val="minor"/>
    </font>
    <font>
      <b/>
      <sz val="10"/>
      <color theme="1"/>
      <name val="Arial"/>
      <family val="2"/>
      <scheme val="minor"/>
    </font>
    <font>
      <sz val="10"/>
      <name val="Arial"/>
      <family val="2"/>
    </font>
    <font>
      <sz val="10"/>
      <color theme="1"/>
      <name val="Arial"/>
      <family val="2"/>
      <scheme val="minor"/>
    </font>
    <font>
      <sz val="10"/>
      <color rgb="FFFFFFFF"/>
      <name val="Arial"/>
      <family val="2"/>
      <scheme val="minor"/>
    </font>
    <font>
      <u/>
      <sz val="10"/>
      <color rgb="FF0000FF"/>
      <name val="Arial"/>
      <family val="2"/>
    </font>
    <font>
      <b/>
      <sz val="10"/>
      <color theme="1"/>
      <name val="Calibri"/>
      <family val="2"/>
    </font>
    <font>
      <b/>
      <sz val="11"/>
      <color theme="1"/>
      <name val="Calibri"/>
      <family val="2"/>
    </font>
    <font>
      <sz val="10"/>
      <color theme="1"/>
      <name val="Calibri"/>
      <family val="2"/>
    </font>
    <font>
      <sz val="10"/>
      <color theme="1"/>
      <name val="Arial"/>
      <family val="2"/>
    </font>
    <font>
      <sz val="11"/>
      <color theme="1"/>
      <name val="Arial"/>
      <family val="2"/>
    </font>
    <font>
      <sz val="10"/>
      <color rgb="FF000000"/>
      <name val="Arial"/>
      <family val="2"/>
    </font>
    <font>
      <u/>
      <sz val="10"/>
      <color rgb="FF0000FF"/>
      <name val="Arial"/>
      <family val="2"/>
    </font>
    <font>
      <u/>
      <sz val="10"/>
      <color theme="1"/>
      <name val="Arial"/>
      <family val="2"/>
    </font>
    <font>
      <u/>
      <sz val="10"/>
      <color theme="1"/>
      <name val="Arial"/>
      <family val="2"/>
    </font>
    <font>
      <b/>
      <sz val="10"/>
      <color theme="1"/>
      <name val="Arial"/>
      <family val="2"/>
    </font>
    <font>
      <b/>
      <sz val="10"/>
      <color rgb="FFFF0000"/>
      <name val="Arial"/>
      <family val="2"/>
    </font>
    <font>
      <sz val="10"/>
      <color theme="1"/>
      <name val="Arial"/>
      <family val="2"/>
    </font>
    <font>
      <b/>
      <u/>
      <sz val="10"/>
      <color theme="1"/>
      <name val="Arial"/>
      <family val="2"/>
    </font>
    <font>
      <u/>
      <sz val="10"/>
      <color rgb="FF1155CC"/>
      <name val="Arial"/>
      <family val="2"/>
    </font>
    <font>
      <sz val="10"/>
      <color rgb="FFFF0000"/>
      <name val="Arial"/>
      <family val="2"/>
    </font>
    <font>
      <b/>
      <sz val="10"/>
      <color rgb="FF0000FF"/>
      <name val="Arial"/>
      <family val="2"/>
    </font>
    <font>
      <i/>
      <sz val="10"/>
      <color theme="1"/>
      <name val="Arial"/>
      <family val="2"/>
    </font>
    <font>
      <b/>
      <sz val="10"/>
      <name val="Arial"/>
      <family val="2"/>
    </font>
    <font>
      <b/>
      <sz val="10"/>
      <color rgb="FF000000"/>
      <name val="Arial"/>
      <family val="2"/>
    </font>
  </fonts>
  <fills count="12">
    <fill>
      <patternFill patternType="none"/>
    </fill>
    <fill>
      <patternFill patternType="gray125"/>
    </fill>
    <fill>
      <patternFill patternType="solid">
        <fgColor rgb="FFB4A7D6"/>
        <bgColor rgb="FFB4A7D6"/>
      </patternFill>
    </fill>
    <fill>
      <patternFill patternType="solid">
        <fgColor rgb="FFF9CB9C"/>
        <bgColor rgb="FFF9CB9C"/>
      </patternFill>
    </fill>
    <fill>
      <patternFill patternType="solid">
        <fgColor rgb="FFA4C2F4"/>
        <bgColor rgb="FFA4C2F4"/>
      </patternFill>
    </fill>
    <fill>
      <patternFill patternType="solid">
        <fgColor rgb="FFD9D2E9"/>
        <bgColor rgb="FFD9D2E9"/>
      </patternFill>
    </fill>
    <fill>
      <patternFill patternType="solid">
        <fgColor rgb="FFFCE5CD"/>
        <bgColor rgb="FFFCE5CD"/>
      </patternFill>
    </fill>
    <fill>
      <patternFill patternType="solid">
        <fgColor rgb="FFC9DAF8"/>
        <bgColor rgb="FFC9DAF8"/>
      </patternFill>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FEF1CC"/>
        <bgColor rgb="FFFEF1CC"/>
      </patternFill>
    </fill>
  </fills>
  <borders count="13">
    <border>
      <left/>
      <right/>
      <top/>
      <bottom/>
      <diagonal/>
    </border>
    <border>
      <left style="thin">
        <color rgb="FF434343"/>
      </left>
      <right style="thin">
        <color rgb="FF434343"/>
      </right>
      <top style="thin">
        <color rgb="FF434343"/>
      </top>
      <bottom/>
      <diagonal/>
    </border>
    <border>
      <left style="thin">
        <color rgb="FF434343"/>
      </left>
      <right/>
      <top style="thin">
        <color rgb="FF434343"/>
      </top>
      <bottom style="thin">
        <color rgb="FF434343"/>
      </bottom>
      <diagonal/>
    </border>
    <border>
      <left/>
      <right/>
      <top style="thin">
        <color rgb="FF434343"/>
      </top>
      <bottom style="thin">
        <color rgb="FF434343"/>
      </bottom>
      <diagonal/>
    </border>
    <border>
      <left/>
      <right style="thin">
        <color rgb="FF434343"/>
      </right>
      <top style="thin">
        <color rgb="FF434343"/>
      </top>
      <bottom style="thin">
        <color rgb="FF434343"/>
      </bottom>
      <diagonal/>
    </border>
    <border>
      <left style="thin">
        <color rgb="FF434343"/>
      </left>
      <right style="thin">
        <color rgb="FF434343"/>
      </right>
      <top/>
      <bottom style="thin">
        <color rgb="FF434343"/>
      </bottom>
      <diagonal/>
    </border>
    <border>
      <left style="thin">
        <color rgb="FF434343"/>
      </left>
      <right style="thin">
        <color rgb="FF434343"/>
      </right>
      <top style="thin">
        <color rgb="FF434343"/>
      </top>
      <bottom style="thin">
        <color rgb="FF434343"/>
      </bottom>
      <diagonal/>
    </border>
    <border>
      <left style="thin">
        <color rgb="FFB7B7B7"/>
      </left>
      <right style="thin">
        <color rgb="FFB7B7B7"/>
      </right>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style="thin">
        <color rgb="FFB7B7B7"/>
      </right>
      <top/>
      <bottom/>
      <diagonal/>
    </border>
    <border>
      <left style="thin">
        <color rgb="FFD8D8D8"/>
      </left>
      <right style="thin">
        <color rgb="FFD8D8D8"/>
      </right>
      <top/>
      <bottom style="thin">
        <color rgb="FFD8D8D8"/>
      </bottom>
      <diagonal/>
    </border>
    <border>
      <left style="thin">
        <color rgb="FFD8D8D8"/>
      </left>
      <right/>
      <top/>
      <bottom style="thin">
        <color rgb="FFD8D8D8"/>
      </bottom>
      <diagonal/>
    </border>
  </borders>
  <cellStyleXfs count="1">
    <xf numFmtId="0" fontId="0" fillId="0" borderId="0"/>
  </cellStyleXfs>
  <cellXfs count="85">
    <xf numFmtId="0" fontId="0" fillId="0" borderId="0" xfId="0"/>
    <xf numFmtId="0" fontId="3" fillId="5" borderId="6" xfId="0" applyFont="1" applyFill="1" applyBorder="1" applyAlignment="1">
      <alignment wrapText="1"/>
    </xf>
    <xf numFmtId="0" fontId="3" fillId="6" borderId="6" xfId="0" applyFont="1" applyFill="1" applyBorder="1" applyAlignment="1">
      <alignment wrapText="1"/>
    </xf>
    <xf numFmtId="0" fontId="3" fillId="7" borderId="6" xfId="0" applyFont="1" applyFill="1" applyBorder="1" applyAlignment="1">
      <alignment wrapText="1"/>
    </xf>
    <xf numFmtId="0" fontId="3" fillId="0" borderId="7" xfId="0" applyFont="1" applyBorder="1" applyAlignment="1">
      <alignment horizontal="left" wrapText="1"/>
    </xf>
    <xf numFmtId="0" fontId="3" fillId="8" borderId="8" xfId="0" applyFont="1" applyFill="1" applyBorder="1" applyAlignment="1">
      <alignment horizontal="left" wrapText="1"/>
    </xf>
    <xf numFmtId="0" fontId="3" fillId="0" borderId="8" xfId="0" applyFont="1" applyBorder="1" applyAlignment="1">
      <alignment horizontal="left" wrapText="1"/>
    </xf>
    <xf numFmtId="0" fontId="3" fillId="0" borderId="8" xfId="0" applyFont="1" applyBorder="1" applyAlignment="1">
      <alignment horizontal="left"/>
    </xf>
    <xf numFmtId="3" fontId="3" fillId="0" borderId="8" xfId="0" applyNumberFormat="1" applyFont="1" applyBorder="1" applyAlignment="1">
      <alignment horizontal="left"/>
    </xf>
    <xf numFmtId="3" fontId="3" fillId="0" borderId="8" xfId="0" applyNumberFormat="1" applyFont="1" applyBorder="1" applyAlignment="1">
      <alignment horizontal="left" wrapText="1"/>
    </xf>
    <xf numFmtId="0" fontId="4" fillId="0" borderId="8" xfId="0" applyFont="1" applyBorder="1" applyAlignment="1">
      <alignment horizontal="left" wrapText="1"/>
    </xf>
    <xf numFmtId="0" fontId="5" fillId="0" borderId="8" xfId="0" applyFont="1" applyBorder="1" applyAlignment="1">
      <alignment horizontal="left" wrapText="1"/>
    </xf>
    <xf numFmtId="0" fontId="0" fillId="0" borderId="8" xfId="0" applyBorder="1" applyAlignment="1">
      <alignment horizontal="left" wrapText="1"/>
    </xf>
    <xf numFmtId="0" fontId="1" fillId="0" borderId="8" xfId="0" applyFont="1" applyBorder="1" applyAlignment="1">
      <alignment horizontal="left" wrapText="1"/>
    </xf>
    <xf numFmtId="10" fontId="3" fillId="0" borderId="8" xfId="0" applyNumberFormat="1" applyFont="1" applyBorder="1" applyAlignment="1">
      <alignment horizontal="left" wrapText="1"/>
    </xf>
    <xf numFmtId="0" fontId="3" fillId="0" borderId="0" xfId="0" applyFont="1" applyAlignment="1">
      <alignment horizontal="left"/>
    </xf>
    <xf numFmtId="0" fontId="3" fillId="0" borderId="0" xfId="0" applyFont="1"/>
    <xf numFmtId="0" fontId="3" fillId="0" borderId="6" xfId="0" applyFont="1" applyBorder="1" applyAlignment="1">
      <alignment wrapText="1"/>
    </xf>
    <xf numFmtId="0" fontId="3" fillId="8" borderId="7" xfId="0" applyFont="1" applyFill="1" applyBorder="1" applyAlignment="1">
      <alignment horizontal="left" wrapText="1"/>
    </xf>
    <xf numFmtId="0" fontId="3" fillId="8" borderId="8" xfId="0" applyFont="1" applyFill="1" applyBorder="1" applyAlignment="1">
      <alignment horizontal="left"/>
    </xf>
    <xf numFmtId="0" fontId="1" fillId="8" borderId="8" xfId="0" applyFont="1" applyFill="1" applyBorder="1" applyAlignment="1">
      <alignment horizontal="left"/>
    </xf>
    <xf numFmtId="0" fontId="0" fillId="8" borderId="8" xfId="0" applyFill="1" applyBorder="1" applyAlignment="1">
      <alignment horizontal="left" wrapText="1"/>
    </xf>
    <xf numFmtId="3" fontId="3" fillId="8" borderId="8" xfId="0" applyNumberFormat="1" applyFont="1" applyFill="1" applyBorder="1" applyAlignment="1">
      <alignment horizontal="left" wrapText="1"/>
    </xf>
    <xf numFmtId="0" fontId="8" fillId="0" borderId="6" xfId="0" applyFont="1" applyBorder="1" applyAlignment="1">
      <alignment wrapText="1"/>
    </xf>
    <xf numFmtId="0" fontId="9" fillId="8" borderId="7" xfId="0" applyFont="1" applyFill="1" applyBorder="1" applyAlignment="1">
      <alignment wrapText="1"/>
    </xf>
    <xf numFmtId="3" fontId="9" fillId="8" borderId="7" xfId="0" applyNumberFormat="1" applyFont="1" applyFill="1" applyBorder="1" applyAlignment="1">
      <alignment wrapText="1"/>
    </xf>
    <xf numFmtId="0" fontId="9" fillId="8" borderId="7" xfId="0" applyFont="1" applyFill="1" applyBorder="1"/>
    <xf numFmtId="0" fontId="9" fillId="8" borderId="8" xfId="0" applyFont="1" applyFill="1" applyBorder="1" applyAlignment="1">
      <alignment wrapText="1"/>
    </xf>
    <xf numFmtId="3" fontId="9" fillId="8" borderId="8" xfId="0" applyNumberFormat="1" applyFont="1" applyFill="1" applyBorder="1" applyAlignment="1">
      <alignment wrapText="1"/>
    </xf>
    <xf numFmtId="0" fontId="9" fillId="8" borderId="8" xfId="0" applyFont="1" applyFill="1" applyBorder="1"/>
    <xf numFmtId="0" fontId="10" fillId="8" borderId="8" xfId="0" applyFont="1" applyFill="1" applyBorder="1"/>
    <xf numFmtId="3" fontId="10" fillId="8" borderId="8" xfId="0" applyNumberFormat="1" applyFont="1" applyFill="1" applyBorder="1" applyAlignment="1">
      <alignment wrapText="1"/>
    </xf>
    <xf numFmtId="3" fontId="9" fillId="8" borderId="8" xfId="0" applyNumberFormat="1" applyFont="1" applyFill="1" applyBorder="1" applyAlignment="1">
      <alignment horizontal="right" wrapText="1"/>
    </xf>
    <xf numFmtId="0" fontId="9" fillId="8" borderId="8" xfId="0" applyFont="1" applyFill="1" applyBorder="1" applyAlignment="1">
      <alignment horizontal="left" vertical="center" wrapText="1"/>
    </xf>
    <xf numFmtId="0" fontId="9" fillId="8" borderId="8" xfId="0" applyFont="1" applyFill="1" applyBorder="1" applyAlignment="1">
      <alignment horizontal="right" wrapText="1"/>
    </xf>
    <xf numFmtId="0" fontId="9" fillId="8" borderId="8" xfId="0" applyFont="1" applyFill="1" applyBorder="1" applyAlignment="1">
      <alignment horizontal="right"/>
    </xf>
    <xf numFmtId="0" fontId="11" fillId="8" borderId="8" xfId="0" applyFont="1" applyFill="1" applyBorder="1" applyAlignment="1">
      <alignment wrapText="1"/>
    </xf>
    <xf numFmtId="0" fontId="12" fillId="8" borderId="8" xfId="0" applyFont="1" applyFill="1" applyBorder="1" applyAlignment="1">
      <alignment wrapText="1"/>
    </xf>
    <xf numFmtId="0" fontId="9" fillId="8" borderId="8" xfId="0" applyFont="1" applyFill="1" applyBorder="1" applyAlignment="1">
      <alignment vertical="center" wrapText="1"/>
    </xf>
    <xf numFmtId="3" fontId="9" fillId="8" borderId="8" xfId="0" applyNumberFormat="1" applyFont="1" applyFill="1" applyBorder="1"/>
    <xf numFmtId="3" fontId="9" fillId="8" borderId="8" xfId="0" applyNumberFormat="1" applyFont="1" applyFill="1" applyBorder="1" applyAlignment="1">
      <alignment horizontal="right"/>
    </xf>
    <xf numFmtId="0" fontId="9" fillId="8" borderId="8" xfId="0" applyFont="1" applyFill="1" applyBorder="1" applyAlignment="1">
      <alignment horizontal="left" vertical="center"/>
    </xf>
    <xf numFmtId="0" fontId="11" fillId="8" borderId="8" xfId="0" applyFont="1" applyFill="1" applyBorder="1" applyAlignment="1">
      <alignment horizontal="right" wrapText="1"/>
    </xf>
    <xf numFmtId="0" fontId="13" fillId="8" borderId="8" xfId="0" applyFont="1" applyFill="1" applyBorder="1" applyAlignment="1">
      <alignment wrapText="1"/>
    </xf>
    <xf numFmtId="0" fontId="14" fillId="8" borderId="8" xfId="0" applyFont="1" applyFill="1" applyBorder="1"/>
    <xf numFmtId="0" fontId="9" fillId="0" borderId="0" xfId="0" applyFont="1"/>
    <xf numFmtId="0" fontId="9" fillId="0" borderId="6" xfId="0" applyFont="1" applyBorder="1" applyAlignment="1">
      <alignment wrapText="1"/>
    </xf>
    <xf numFmtId="0" fontId="9" fillId="0" borderId="6" xfId="0" applyFont="1" applyBorder="1" applyAlignment="1">
      <alignment horizontal="center" wrapText="1"/>
    </xf>
    <xf numFmtId="0" fontId="9" fillId="8" borderId="7" xfId="0" applyFont="1" applyFill="1" applyBorder="1" applyAlignment="1">
      <alignment horizontal="left" wrapText="1"/>
    </xf>
    <xf numFmtId="3" fontId="9" fillId="8" borderId="7" xfId="0" applyNumberFormat="1" applyFont="1" applyFill="1" applyBorder="1" applyAlignment="1">
      <alignment horizontal="left" wrapText="1"/>
    </xf>
    <xf numFmtId="0" fontId="9" fillId="8" borderId="8" xfId="0" applyFont="1" applyFill="1" applyBorder="1" applyAlignment="1">
      <alignment horizontal="left" wrapText="1"/>
    </xf>
    <xf numFmtId="3" fontId="9" fillId="8" borderId="8" xfId="0" applyNumberFormat="1" applyFont="1" applyFill="1" applyBorder="1" applyAlignment="1">
      <alignment horizontal="left" wrapText="1"/>
    </xf>
    <xf numFmtId="0" fontId="9" fillId="8" borderId="8" xfId="0" applyFont="1" applyFill="1" applyBorder="1" applyAlignment="1">
      <alignment horizontal="left"/>
    </xf>
    <xf numFmtId="3" fontId="9" fillId="8" borderId="8" xfId="0" applyNumberFormat="1" applyFont="1" applyFill="1" applyBorder="1" applyAlignment="1">
      <alignment horizontal="left"/>
    </xf>
    <xf numFmtId="0" fontId="11" fillId="8" borderId="8" xfId="0" applyFont="1" applyFill="1" applyBorder="1" applyAlignment="1">
      <alignment horizontal="left" wrapText="1"/>
    </xf>
    <xf numFmtId="0" fontId="16" fillId="8" borderId="8" xfId="0" applyFont="1" applyFill="1" applyBorder="1" applyAlignment="1">
      <alignment horizontal="left" wrapText="1"/>
    </xf>
    <xf numFmtId="0" fontId="17" fillId="8" borderId="8" xfId="0" applyFont="1" applyFill="1" applyBorder="1" applyAlignment="1">
      <alignment horizontal="left" wrapText="1"/>
    </xf>
    <xf numFmtId="0" fontId="9" fillId="0" borderId="0" xfId="0" applyFont="1" applyAlignment="1">
      <alignment horizontal="center"/>
    </xf>
    <xf numFmtId="0" fontId="9" fillId="0" borderId="11" xfId="0" applyFont="1" applyBorder="1"/>
    <xf numFmtId="0" fontId="9" fillId="0" borderId="12" xfId="0" applyFont="1" applyBorder="1"/>
    <xf numFmtId="0" fontId="1" fillId="3" borderId="2" xfId="0" applyFont="1" applyFill="1" applyBorder="1" applyAlignment="1">
      <alignment horizontal="center"/>
    </xf>
    <xf numFmtId="0" fontId="2" fillId="0" borderId="3" xfId="0" applyFont="1" applyBorder="1"/>
    <xf numFmtId="0" fontId="2" fillId="0" borderId="4" xfId="0" applyFont="1" applyBorder="1"/>
    <xf numFmtId="0" fontId="1" fillId="4" borderId="2" xfId="0" applyFont="1" applyFill="1" applyBorder="1" applyAlignment="1">
      <alignment horizontal="center"/>
    </xf>
    <xf numFmtId="0" fontId="3" fillId="0" borderId="9" xfId="0" applyFont="1" applyBorder="1" applyAlignment="1">
      <alignment horizontal="left" wrapText="1"/>
    </xf>
    <xf numFmtId="0" fontId="2" fillId="0" borderId="7" xfId="0" applyFont="1" applyBorder="1"/>
    <xf numFmtId="0" fontId="1" fillId="2" borderId="1" xfId="0" applyFont="1" applyFill="1" applyBorder="1" applyAlignment="1">
      <alignment wrapText="1"/>
    </xf>
    <xf numFmtId="0" fontId="2" fillId="0" borderId="5" xfId="0" applyFont="1" applyBorder="1"/>
    <xf numFmtId="0" fontId="1" fillId="2" borderId="2" xfId="0" applyFont="1" applyFill="1" applyBorder="1" applyAlignment="1">
      <alignment horizontal="center"/>
    </xf>
    <xf numFmtId="0" fontId="1" fillId="9" borderId="2" xfId="0" applyFont="1" applyFill="1" applyBorder="1" applyAlignment="1">
      <alignment horizontal="center"/>
    </xf>
    <xf numFmtId="0" fontId="1" fillId="11" borderId="1" xfId="0" applyFont="1" applyFill="1" applyBorder="1"/>
    <xf numFmtId="0" fontId="1" fillId="10" borderId="1" xfId="0" applyFont="1" applyFill="1" applyBorder="1"/>
    <xf numFmtId="0" fontId="1" fillId="11" borderId="1" xfId="0" applyFont="1" applyFill="1" applyBorder="1" applyAlignment="1">
      <alignment wrapText="1"/>
    </xf>
    <xf numFmtId="0" fontId="1" fillId="10" borderId="1" xfId="0" applyFont="1" applyFill="1" applyBorder="1" applyAlignment="1">
      <alignment wrapText="1"/>
    </xf>
    <xf numFmtId="0" fontId="3" fillId="8" borderId="9" xfId="0" applyFont="1" applyFill="1" applyBorder="1" applyAlignment="1">
      <alignment horizontal="left" wrapText="1"/>
    </xf>
    <xf numFmtId="0" fontId="2" fillId="0" borderId="10" xfId="0" applyFont="1" applyBorder="1"/>
    <xf numFmtId="0" fontId="6" fillId="10" borderId="1" xfId="0" applyFont="1" applyFill="1" applyBorder="1"/>
    <xf numFmtId="0" fontId="6" fillId="11" borderId="1" xfId="0" applyFont="1" applyFill="1" applyBorder="1"/>
    <xf numFmtId="0" fontId="6" fillId="2" borderId="1" xfId="0" applyFont="1" applyFill="1" applyBorder="1" applyAlignment="1">
      <alignment wrapText="1"/>
    </xf>
    <xf numFmtId="0" fontId="6" fillId="9" borderId="2" xfId="0" applyFont="1" applyFill="1" applyBorder="1" applyAlignment="1">
      <alignment horizontal="center"/>
    </xf>
    <xf numFmtId="0" fontId="7" fillId="9" borderId="2" xfId="0" applyFont="1" applyFill="1" applyBorder="1" applyAlignment="1">
      <alignment horizontal="center"/>
    </xf>
    <xf numFmtId="0" fontId="15" fillId="9" borderId="2" xfId="0" applyFont="1" applyFill="1" applyBorder="1" applyAlignment="1">
      <alignment horizontal="center"/>
    </xf>
    <xf numFmtId="0" fontId="15" fillId="11" borderId="1" xfId="0" applyFont="1" applyFill="1" applyBorder="1"/>
    <xf numFmtId="0" fontId="15" fillId="2" borderId="1" xfId="0" applyFont="1" applyFill="1" applyBorder="1" applyAlignment="1">
      <alignment wrapText="1"/>
    </xf>
    <xf numFmtId="0" fontId="15" fillId="10" borderId="1" xfId="0" applyFont="1" applyFill="1" applyBorder="1"/>
  </cellXfs>
  <cellStyles count="1">
    <cellStyle name="Normal" xfId="0" builtinId="0"/>
  </cellStyles>
  <dxfs count="42">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s>
  <tableStyles count="21">
    <tableStyle name="Characteristics-style" pivot="0" count="2" xr9:uid="{00000000-0011-0000-FFFF-FFFF00000000}">
      <tableStyleElement type="firstRowStripe" dxfId="41"/>
      <tableStyleElement type="secondRowStripe" dxfId="40"/>
    </tableStyle>
    <tableStyle name="Characteristics-style 2" pivot="0" count="2" xr9:uid="{00000000-0011-0000-FFFF-FFFF01000000}">
      <tableStyleElement type="firstRowStripe" dxfId="39"/>
      <tableStyleElement type="secondRowStripe" dxfId="38"/>
    </tableStyle>
    <tableStyle name="Characteristics-style 3" pivot="0" count="2" xr9:uid="{00000000-0011-0000-FFFF-FFFF02000000}">
      <tableStyleElement type="firstRowStripe" dxfId="37"/>
      <tableStyleElement type="secondRowStripe" dxfId="36"/>
    </tableStyle>
    <tableStyle name="Characteristics-style 4" pivot="0" count="2" xr9:uid="{00000000-0011-0000-FFFF-FFFF03000000}">
      <tableStyleElement type="firstRowStripe" dxfId="35"/>
      <tableStyleElement type="secondRowStripe" dxfId="34"/>
    </tableStyle>
    <tableStyle name="Characteristics-style 5" pivot="0" count="2" xr9:uid="{00000000-0011-0000-FFFF-FFFF04000000}">
      <tableStyleElement type="firstRowStripe" dxfId="33"/>
      <tableStyleElement type="secondRowStripe" dxfId="32"/>
    </tableStyle>
    <tableStyle name="Effectiveness-style" pivot="0" count="2" xr9:uid="{00000000-0011-0000-FFFF-FFFF05000000}">
      <tableStyleElement type="firstRowStripe" dxfId="31"/>
      <tableStyleElement type="secondRowStripe" dxfId="30"/>
    </tableStyle>
    <tableStyle name="Effectiveness-style 2" pivot="0" count="2" xr9:uid="{00000000-0011-0000-FFFF-FFFF06000000}">
      <tableStyleElement type="firstRowStripe" dxfId="29"/>
      <tableStyleElement type="secondRowStripe" dxfId="28"/>
    </tableStyle>
    <tableStyle name="Effectiveness-style 3" pivot="0" count="2" xr9:uid="{00000000-0011-0000-FFFF-FFFF07000000}">
      <tableStyleElement type="firstRowStripe" dxfId="27"/>
      <tableStyleElement type="secondRowStripe" dxfId="26"/>
    </tableStyle>
    <tableStyle name="Effectiveness-style 4" pivot="0" count="2" xr9:uid="{00000000-0011-0000-FFFF-FFFF08000000}">
      <tableStyleElement type="firstRowStripe" dxfId="25"/>
      <tableStyleElement type="secondRowStripe" dxfId="24"/>
    </tableStyle>
    <tableStyle name="Effectiveness-style 5" pivot="0" count="2" xr9:uid="{00000000-0011-0000-FFFF-FFFF09000000}">
      <tableStyleElement type="firstRowStripe" dxfId="23"/>
      <tableStyleElement type="secondRowStripe" dxfId="22"/>
    </tableStyle>
    <tableStyle name="Effectiveness-style 6" pivot="0" count="2" xr9:uid="{00000000-0011-0000-FFFF-FFFF0A000000}">
      <tableStyleElement type="firstRowStripe" dxfId="21"/>
      <tableStyleElement type="secondRowStripe" dxfId="20"/>
    </tableStyle>
    <tableStyle name="Effectiveness-style 7" pivot="0" count="2" xr9:uid="{00000000-0011-0000-FFFF-FFFF0B000000}">
      <tableStyleElement type="firstRowStripe" dxfId="19"/>
      <tableStyleElement type="secondRowStripe" dxfId="18"/>
    </tableStyle>
    <tableStyle name="Effectiveness-style 8" pivot="0" count="2" xr9:uid="{00000000-0011-0000-FFFF-FFFF0C000000}">
      <tableStyleElement type="firstRowStripe" dxfId="17"/>
      <tableStyleElement type="secondRowStripe" dxfId="16"/>
    </tableStyle>
    <tableStyle name="Effectiveness-style 9" pivot="0" count="2" xr9:uid="{00000000-0011-0000-FFFF-FFFF0D000000}">
      <tableStyleElement type="firstRowStripe" dxfId="15"/>
      <tableStyleElement type="secondRowStripe" dxfId="14"/>
    </tableStyle>
    <tableStyle name="Effectiveness-style 10" pivot="0" count="2" xr9:uid="{00000000-0011-0000-FFFF-FFFF0E000000}">
      <tableStyleElement type="firstRowStripe" dxfId="13"/>
      <tableStyleElement type="secondRowStripe" dxfId="12"/>
    </tableStyle>
    <tableStyle name="Safety - Infants-style" pivot="0" count="2" xr9:uid="{00000000-0011-0000-FFFF-FFFF0F000000}">
      <tableStyleElement type="firstRowStripe" dxfId="11"/>
      <tableStyleElement type="secondRowStripe" dxfId="10"/>
    </tableStyle>
    <tableStyle name="Safety - Infants-style 2" pivot="0" count="2" xr9:uid="{00000000-0011-0000-FFFF-FFFF10000000}">
      <tableStyleElement type="firstRowStripe" dxfId="9"/>
      <tableStyleElement type="secondRowStripe" dxfId="8"/>
    </tableStyle>
    <tableStyle name="Safety - Infants-style 3" pivot="0" count="2" xr9:uid="{00000000-0011-0000-FFFF-FFFF11000000}">
      <tableStyleElement type="firstRowStripe" dxfId="7"/>
      <tableStyleElement type="secondRowStripe" dxfId="6"/>
    </tableStyle>
    <tableStyle name="Safety - Infants-style 4" pivot="0" count="2" xr9:uid="{00000000-0011-0000-FFFF-FFFF12000000}">
      <tableStyleElement type="firstRowStripe" dxfId="5"/>
      <tableStyleElement type="secondRowStripe" dxfId="4"/>
    </tableStyle>
    <tableStyle name="Safety - Infants-style 5" pivot="0" count="2" xr9:uid="{00000000-0011-0000-FFFF-FFFF13000000}">
      <tableStyleElement type="firstRowStripe" dxfId="3"/>
      <tableStyleElement type="secondRowStripe" dxfId="2"/>
    </tableStyle>
    <tableStyle name="Safety - Infants-style 6" pivot="0" count="2" xr9:uid="{00000000-0011-0000-FFFF-FFFF14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B4" headerRowCount="0">
  <tableColumns count="2">
    <tableColumn id="1" xr3:uid="{00000000-0010-0000-0000-000001000000}" name="Column1"/>
    <tableColumn id="2" xr3:uid="{00000000-0010-0000-0000-000002000000}" name="Column2"/>
  </tableColumns>
  <tableStyleInfo name="Characteristic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V47" headerRowCount="0">
  <tableColumns count="1">
    <tableColumn id="1" xr3:uid="{00000000-0010-0000-0100-000001000000}" name="Column1"/>
  </tableColumns>
  <tableStyleInfo name="Characteristic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D47:AF47" headerRowCount="0">
  <tableColumns count="3">
    <tableColumn id="1" xr3:uid="{00000000-0010-0000-0200-000001000000}" name="Column1"/>
    <tableColumn id="2" xr3:uid="{00000000-0010-0000-0200-000002000000}" name="Column2"/>
    <tableColumn id="3" xr3:uid="{00000000-0010-0000-0200-000003000000}" name="Column3"/>
  </tableColumns>
  <tableStyleInfo name="Characteristic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V55" headerRowCount="0">
  <tableColumns count="1">
    <tableColumn id="1" xr3:uid="{00000000-0010-0000-0300-000001000000}" name="Column1"/>
  </tableColumns>
  <tableStyleInfo name="Characteristic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D55" headerRowCount="0">
  <tableColumns count="1">
    <tableColumn id="1" xr3:uid="{00000000-0010-0000-0400-000001000000}" name="Column1"/>
  </tableColumns>
  <tableStyleInfo name="Characteristic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3:E4" headerRowCount="0">
  <tableColumns count="5">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s>
  <tableStyleInfo name="Effectiveness-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C49" headerRowCount="0">
  <tableColumns count="1">
    <tableColumn id="1" xr3:uid="{00000000-0010-0000-0600-000001000000}" name="Column1"/>
  </tableColumns>
  <tableStyleInfo name="Effectiveness-style 2"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H49" headerRowCount="0">
  <tableColumns count="1">
    <tableColumn id="1" xr3:uid="{00000000-0010-0000-0700-000001000000}" name="Column1"/>
  </tableColumns>
  <tableStyleInfo name="Effectiveness-style 3"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M49" headerRowCount="0">
  <tableColumns count="1">
    <tableColumn id="1" xr3:uid="{00000000-0010-0000-0800-000001000000}" name="Column1"/>
  </tableColumns>
  <tableStyleInfo name="Effectiveness-style 4"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R49" headerRowCount="0">
  <tableColumns count="1">
    <tableColumn id="1" xr3:uid="{00000000-0010-0000-0900-000001000000}" name="Column1"/>
  </tableColumns>
  <tableStyleInfo name="Effectiveness-style 5"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W49" headerRowCount="0">
  <tableColumns count="1">
    <tableColumn id="1" xr3:uid="{00000000-0010-0000-0A00-000001000000}" name="Column1"/>
  </tableColumns>
  <tableStyleInfo name="Effectiveness-style 6"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X49" headerRowCount="0">
  <tableColumns count="1">
    <tableColumn id="1" xr3:uid="{00000000-0010-0000-0B00-000001000000}" name="Column1"/>
  </tableColumns>
  <tableStyleInfo name="Effectiveness-style 7"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B49" headerRowCount="0">
  <tableColumns count="1">
    <tableColumn id="1" xr3:uid="{00000000-0010-0000-0C00-000001000000}" name="Column1"/>
  </tableColumns>
  <tableStyleInfo name="Effectiveness-style 8"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AG49" headerRowCount="0">
  <tableColumns count="1">
    <tableColumn id="1" xr3:uid="{00000000-0010-0000-0D00-000001000000}" name="Column1"/>
  </tableColumns>
  <tableStyleInfo name="Effectiveness-style 9"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AL49" headerRowCount="0">
  <tableColumns count="1">
    <tableColumn id="1" xr3:uid="{00000000-0010-0000-0E00-000001000000}" name="Column1"/>
  </tableColumns>
  <tableStyleInfo name="Effectiveness-style 10"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A23:E23" headerRowCount="0">
  <tableColumns count="5">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s>
  <tableStyleInfo name="Safety - Infants-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A24:B24" headerRowCount="0">
  <tableColumns count="2">
    <tableColumn id="1" xr3:uid="{00000000-0010-0000-1000-000001000000}" name="Column1"/>
    <tableColumn id="2" xr3:uid="{00000000-0010-0000-1000-000002000000}" name="Column2"/>
  </tableColumns>
  <tableStyleInfo name="Safety - Infants-style 2"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A56:Y66" headerRowCount="0">
  <tableColumns count="25">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 id="12" xr3:uid="{00000000-0010-0000-1100-00000C000000}" name="Column12"/>
    <tableColumn id="13" xr3:uid="{00000000-0010-0000-1100-00000D000000}" name="Column13"/>
    <tableColumn id="14" xr3:uid="{00000000-0010-0000-1100-00000E000000}" name="Column14"/>
    <tableColumn id="15" xr3:uid="{00000000-0010-0000-1100-00000F000000}" name="Column15"/>
    <tableColumn id="16" xr3:uid="{00000000-0010-0000-1100-000010000000}" name="Column16"/>
    <tableColumn id="17" xr3:uid="{00000000-0010-0000-1100-000011000000}" name="Column17"/>
    <tableColumn id="18" xr3:uid="{00000000-0010-0000-1100-000012000000}" name="Column18"/>
    <tableColumn id="19" xr3:uid="{00000000-0010-0000-1100-000013000000}" name="Column19"/>
    <tableColumn id="20" xr3:uid="{00000000-0010-0000-1100-000014000000}" name="Column20"/>
    <tableColumn id="21" xr3:uid="{00000000-0010-0000-1100-000015000000}" name="Column21"/>
    <tableColumn id="22" xr3:uid="{00000000-0010-0000-1100-000016000000}" name="Column22"/>
    <tableColumn id="23" xr3:uid="{00000000-0010-0000-1100-000017000000}" name="Column23"/>
    <tableColumn id="24" xr3:uid="{00000000-0010-0000-1100-000018000000}" name="Column24"/>
    <tableColumn id="25" xr3:uid="{00000000-0010-0000-1100-000019000000}" name="Column25"/>
  </tableColumns>
  <tableStyleInfo name="Safety - Infants-style 3"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Z56:AE66" headerRowCount="0">
  <tableColumns count="6">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s>
  <tableStyleInfo name="Safety - Infants-style 4"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AF56:AK66" headerRowCount="0">
  <tableColumns count="6">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s>
  <tableStyleInfo name="Safety - Infants-style 5"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AL56:AQ66" headerRowCount="0">
  <tableColumns count="6">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s>
  <tableStyleInfo name="Safety - Infants-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hyperlink" Target="https://osf.io/m4tpw/overview" TargetMode="External"/><Relationship Id="rId1" Type="http://schemas.openxmlformats.org/officeDocument/2006/relationships/hyperlink" Target="https://clinicaltrials.gov/study/NCT03498300" TargetMode="Externa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table" Target="../tables/table7.xml"/><Relationship Id="rId1" Type="http://schemas.openxmlformats.org/officeDocument/2006/relationships/table" Target="../tables/table6.xml"/><Relationship Id="rId6" Type="http://schemas.openxmlformats.org/officeDocument/2006/relationships/table" Target="../tables/table11.xml"/><Relationship Id="rId5" Type="http://schemas.openxmlformats.org/officeDocument/2006/relationships/table" Target="../tables/table10.xml"/><Relationship Id="rId10" Type="http://schemas.openxmlformats.org/officeDocument/2006/relationships/table" Target="../tables/table15.xml"/><Relationship Id="rId4" Type="http://schemas.openxmlformats.org/officeDocument/2006/relationships/table" Target="../tables/table9.xml"/><Relationship Id="rId9" Type="http://schemas.openxmlformats.org/officeDocument/2006/relationships/table" Target="../tables/table14.xml"/></Relationships>
</file>

<file path=xl/worksheets/_rels/sheet3.xml.rels><?xml version="1.0" encoding="UTF-8" standalone="yes"?>
<Relationships xmlns="http://schemas.openxmlformats.org/package/2006/relationships"><Relationship Id="rId3" Type="http://schemas.openxmlformats.org/officeDocument/2006/relationships/hyperlink" Target="https://docs.google.com/spreadsheets/d/1JYZcA83hu1Oj_uK19YKcR9JBHGzmJS-y/edit?usp=sharing&amp;ouid=108036799477026733705&amp;rtpof=true&amp;sd=true" TargetMode="External"/><Relationship Id="rId2" Type="http://schemas.openxmlformats.org/officeDocument/2006/relationships/hyperlink" Target="https://docs.google.com/spreadsheets/d/1JYZcA83hu1Oj_uK19YKcR9JBHGzmJS-y/edit?usp=sharing&amp;ouid=108036799477026733705&amp;rtpof=true&amp;sd=true" TargetMode="External"/><Relationship Id="rId1" Type="http://schemas.openxmlformats.org/officeDocument/2006/relationships/hyperlink" Target="https://apps.dtic.mil/sti/tr/pdf/ADA617598.pdf" TargetMode="External"/><Relationship Id="rId4" Type="http://schemas.openxmlformats.org/officeDocument/2006/relationships/hyperlink" Target="https://docs.google.com/spreadsheets/d/1JYZcA83hu1Oj_uK19YKcR9JBHGzmJS-y/edit?usp=sharing&amp;ouid=108036799477026733705&amp;rtpof=true&amp;sd=true"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table" Target="../tables/table16.xml"/><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993"/>
  <sheetViews>
    <sheetView tabSelected="1" workbookViewId="0">
      <pane xSplit="2" ySplit="2" topLeftCell="C135" activePane="bottomRight" state="frozen"/>
      <selection pane="topRight" activeCell="C1" sqref="C1"/>
      <selection pane="bottomLeft" activeCell="A3" sqref="A3"/>
      <selection pane="bottomRight" activeCell="M50" sqref="M50"/>
    </sheetView>
  </sheetViews>
  <sheetFormatPr baseColWidth="10" defaultColWidth="12.6640625" defaultRowHeight="15" customHeight="1" x14ac:dyDescent="0.15"/>
  <cols>
    <col min="1" max="1" width="7.1640625" customWidth="1"/>
    <col min="2" max="2" width="17.1640625" customWidth="1"/>
    <col min="3" max="3" width="21.1640625" customWidth="1"/>
    <col min="4" max="4" width="19.6640625" customWidth="1"/>
    <col min="5" max="5" width="16.83203125" customWidth="1"/>
    <col min="6" max="6" width="29.5" customWidth="1"/>
    <col min="7" max="7" width="16.6640625" customWidth="1"/>
    <col min="8" max="8" width="15.6640625" customWidth="1"/>
    <col min="9" max="9" width="32.33203125" customWidth="1"/>
    <col min="10" max="10" width="15.83203125" customWidth="1"/>
    <col min="11" max="11" width="34.5" customWidth="1"/>
    <col min="12" max="13" width="15.83203125" customWidth="1"/>
    <col min="14" max="14" width="30.1640625" customWidth="1"/>
    <col min="15" max="15" width="14.5" customWidth="1"/>
    <col min="16" max="16" width="11.6640625" customWidth="1"/>
    <col min="17" max="17" width="12.33203125" customWidth="1"/>
    <col min="18" max="18" width="17.6640625" customWidth="1"/>
    <col min="19" max="19" width="15.83203125" customWidth="1"/>
    <col min="20" max="20" width="13" customWidth="1"/>
    <col min="21" max="21" width="17.5" customWidth="1"/>
    <col min="22" max="22" width="16.5" customWidth="1"/>
    <col min="23" max="23" width="15.83203125" customWidth="1"/>
    <col min="24" max="24" width="13.6640625" customWidth="1"/>
    <col min="25" max="25" width="23" customWidth="1"/>
    <col min="26" max="26" width="15" customWidth="1"/>
    <col min="27" max="27" width="15.83203125" customWidth="1"/>
    <col min="28" max="28" width="13" customWidth="1"/>
    <col min="29" max="29" width="24" customWidth="1"/>
    <col min="30" max="30" width="16" customWidth="1"/>
    <col min="31" max="31" width="31.5" customWidth="1"/>
    <col min="32" max="32" width="17.1640625" customWidth="1"/>
    <col min="33" max="33" width="17.33203125" customWidth="1"/>
  </cols>
  <sheetData>
    <row r="1" spans="1:33" ht="15.75" customHeight="1" x14ac:dyDescent="0.15">
      <c r="A1" s="66" t="s">
        <v>0</v>
      </c>
      <c r="B1" s="66" t="s">
        <v>1</v>
      </c>
      <c r="C1" s="68" t="s">
        <v>2</v>
      </c>
      <c r="D1" s="61"/>
      <c r="E1" s="61"/>
      <c r="F1" s="61"/>
      <c r="G1" s="61"/>
      <c r="H1" s="61"/>
      <c r="I1" s="62"/>
      <c r="J1" s="60" t="s">
        <v>3</v>
      </c>
      <c r="K1" s="61"/>
      <c r="L1" s="61"/>
      <c r="M1" s="61"/>
      <c r="N1" s="62"/>
      <c r="O1" s="63" t="s">
        <v>4</v>
      </c>
      <c r="P1" s="61"/>
      <c r="Q1" s="61"/>
      <c r="R1" s="61"/>
      <c r="S1" s="61"/>
      <c r="T1" s="61"/>
      <c r="U1" s="62"/>
      <c r="V1" s="63" t="s">
        <v>5</v>
      </c>
      <c r="W1" s="61"/>
      <c r="X1" s="61"/>
      <c r="Y1" s="61"/>
      <c r="Z1" s="61"/>
      <c r="AA1" s="61"/>
      <c r="AB1" s="61"/>
      <c r="AC1" s="62"/>
      <c r="AD1" s="63" t="s">
        <v>6</v>
      </c>
      <c r="AE1" s="61"/>
      <c r="AF1" s="61"/>
      <c r="AG1" s="62"/>
    </row>
    <row r="2" spans="1:33" ht="15.75" customHeight="1" x14ac:dyDescent="0.15">
      <c r="A2" s="67"/>
      <c r="B2" s="67"/>
      <c r="C2" s="1" t="s">
        <v>7</v>
      </c>
      <c r="D2" s="1" t="s">
        <v>8</v>
      </c>
      <c r="E2" s="1" t="s">
        <v>9</v>
      </c>
      <c r="F2" s="1" t="s">
        <v>10</v>
      </c>
      <c r="G2" s="1" t="s">
        <v>11</v>
      </c>
      <c r="H2" s="1" t="s">
        <v>12</v>
      </c>
      <c r="I2" s="1" t="s">
        <v>13</v>
      </c>
      <c r="J2" s="2" t="s">
        <v>14</v>
      </c>
      <c r="K2" s="2" t="s">
        <v>15</v>
      </c>
      <c r="L2" s="2" t="s">
        <v>16</v>
      </c>
      <c r="M2" s="2" t="s">
        <v>17</v>
      </c>
      <c r="N2" s="2" t="s">
        <v>18</v>
      </c>
      <c r="O2" s="3" t="s">
        <v>19</v>
      </c>
      <c r="P2" s="3" t="s">
        <v>20</v>
      </c>
      <c r="Q2" s="3" t="s">
        <v>21</v>
      </c>
      <c r="R2" s="3" t="s">
        <v>22</v>
      </c>
      <c r="S2" s="3" t="s">
        <v>23</v>
      </c>
      <c r="T2" s="3" t="s">
        <v>24</v>
      </c>
      <c r="U2" s="3" t="s">
        <v>25</v>
      </c>
      <c r="V2" s="3" t="s">
        <v>26</v>
      </c>
      <c r="W2" s="3" t="s">
        <v>27</v>
      </c>
      <c r="X2" s="3" t="s">
        <v>20</v>
      </c>
      <c r="Y2" s="3" t="s">
        <v>21</v>
      </c>
      <c r="Z2" s="3" t="s">
        <v>22</v>
      </c>
      <c r="AA2" s="3" t="s">
        <v>23</v>
      </c>
      <c r="AB2" s="3" t="s">
        <v>24</v>
      </c>
      <c r="AC2" s="3" t="s">
        <v>25</v>
      </c>
      <c r="AD2" s="3" t="s">
        <v>26</v>
      </c>
      <c r="AE2" s="3" t="s">
        <v>28</v>
      </c>
      <c r="AF2" s="3" t="s">
        <v>29</v>
      </c>
      <c r="AG2" s="3" t="s">
        <v>30</v>
      </c>
    </row>
    <row r="3" spans="1:33" ht="15.75" customHeight="1" x14ac:dyDescent="0.15">
      <c r="A3" s="4">
        <v>394</v>
      </c>
      <c r="B3" s="4" t="s">
        <v>31</v>
      </c>
      <c r="C3" s="4" t="s">
        <v>32</v>
      </c>
      <c r="D3" s="4" t="s">
        <v>33</v>
      </c>
      <c r="E3" s="4" t="s">
        <v>34</v>
      </c>
      <c r="F3" s="4" t="s">
        <v>35</v>
      </c>
      <c r="G3" s="4" t="s">
        <v>36</v>
      </c>
      <c r="H3" s="4" t="s">
        <v>37</v>
      </c>
      <c r="I3" s="4" t="s">
        <v>34</v>
      </c>
      <c r="J3" s="4" t="s">
        <v>38</v>
      </c>
      <c r="K3" s="4" t="s">
        <v>39</v>
      </c>
      <c r="L3" s="4" t="s">
        <v>34</v>
      </c>
      <c r="M3" s="4" t="s">
        <v>34</v>
      </c>
      <c r="N3" s="4" t="s">
        <v>34</v>
      </c>
      <c r="O3" s="4" t="s">
        <v>40</v>
      </c>
      <c r="P3" s="4" t="s">
        <v>41</v>
      </c>
      <c r="Q3" s="4" t="s">
        <v>42</v>
      </c>
      <c r="R3" s="4" t="s">
        <v>34</v>
      </c>
      <c r="S3" s="4" t="s">
        <v>43</v>
      </c>
      <c r="T3" s="4" t="s">
        <v>34</v>
      </c>
      <c r="U3" s="4" t="s">
        <v>34</v>
      </c>
      <c r="V3" s="4" t="s">
        <v>33</v>
      </c>
      <c r="W3" s="4">
        <v>46</v>
      </c>
      <c r="X3" s="4" t="s">
        <v>34</v>
      </c>
      <c r="Y3" s="4" t="s">
        <v>34</v>
      </c>
      <c r="Z3" s="4" t="s">
        <v>34</v>
      </c>
      <c r="AA3" s="4" t="s">
        <v>34</v>
      </c>
      <c r="AB3" s="4" t="s">
        <v>34</v>
      </c>
      <c r="AC3" s="4" t="s">
        <v>34</v>
      </c>
      <c r="AD3" s="4" t="s">
        <v>33</v>
      </c>
      <c r="AE3" s="4" t="s">
        <v>44</v>
      </c>
      <c r="AF3" s="4" t="s">
        <v>34</v>
      </c>
      <c r="AG3" s="4" t="s">
        <v>34</v>
      </c>
    </row>
    <row r="4" spans="1:33" ht="15.75" customHeight="1" x14ac:dyDescent="0.15">
      <c r="A4" s="5">
        <v>394</v>
      </c>
      <c r="B4" s="5" t="s">
        <v>45</v>
      </c>
      <c r="C4" s="6"/>
      <c r="D4" s="6"/>
      <c r="E4" s="6"/>
      <c r="F4" s="6"/>
      <c r="G4" s="6"/>
      <c r="H4" s="6"/>
      <c r="I4" s="6"/>
      <c r="J4" s="6"/>
      <c r="K4" s="6"/>
      <c r="L4" s="6"/>
      <c r="M4" s="6"/>
      <c r="N4" s="6"/>
      <c r="O4" s="6"/>
      <c r="P4" s="6"/>
      <c r="Q4" s="6"/>
      <c r="R4" s="6"/>
      <c r="S4" s="6"/>
      <c r="T4" s="6"/>
      <c r="U4" s="6"/>
      <c r="V4" s="6" t="s">
        <v>46</v>
      </c>
      <c r="W4" s="6">
        <v>42</v>
      </c>
      <c r="X4" s="6" t="s">
        <v>34</v>
      </c>
      <c r="Y4" s="6" t="s">
        <v>34</v>
      </c>
      <c r="Z4" s="6" t="s">
        <v>34</v>
      </c>
      <c r="AA4" s="6" t="s">
        <v>34</v>
      </c>
      <c r="AB4" s="6" t="s">
        <v>34</v>
      </c>
      <c r="AC4" s="6" t="s">
        <v>34</v>
      </c>
      <c r="AD4" s="6" t="s">
        <v>46</v>
      </c>
      <c r="AE4" s="6" t="s">
        <v>44</v>
      </c>
      <c r="AF4" s="6" t="s">
        <v>34</v>
      </c>
      <c r="AG4" s="6" t="s">
        <v>34</v>
      </c>
    </row>
    <row r="5" spans="1:33" ht="15.75" customHeight="1" x14ac:dyDescent="0.15">
      <c r="A5" s="6">
        <v>763</v>
      </c>
      <c r="B5" s="6" t="s">
        <v>47</v>
      </c>
      <c r="C5" s="6" t="s">
        <v>32</v>
      </c>
      <c r="D5" s="6" t="s">
        <v>33</v>
      </c>
      <c r="E5" s="6" t="s">
        <v>48</v>
      </c>
      <c r="F5" s="6" t="s">
        <v>49</v>
      </c>
      <c r="G5" s="6" t="s">
        <v>50</v>
      </c>
      <c r="H5" s="6" t="s">
        <v>51</v>
      </c>
      <c r="I5" s="6" t="s">
        <v>34</v>
      </c>
      <c r="J5" s="6" t="s">
        <v>52</v>
      </c>
      <c r="K5" s="7" t="s">
        <v>53</v>
      </c>
      <c r="L5" s="6" t="s">
        <v>54</v>
      </c>
      <c r="M5" s="6" t="s">
        <v>55</v>
      </c>
      <c r="N5" s="6" t="s">
        <v>56</v>
      </c>
      <c r="O5" s="6" t="s">
        <v>57</v>
      </c>
      <c r="P5" s="6" t="s">
        <v>58</v>
      </c>
      <c r="Q5" s="6" t="s">
        <v>59</v>
      </c>
      <c r="R5" s="6" t="s">
        <v>34</v>
      </c>
      <c r="S5" s="6" t="s">
        <v>34</v>
      </c>
      <c r="T5" s="6" t="s">
        <v>34</v>
      </c>
      <c r="U5" s="6" t="s">
        <v>34</v>
      </c>
      <c r="V5" s="6" t="s">
        <v>60</v>
      </c>
      <c r="W5" s="6">
        <v>15</v>
      </c>
      <c r="X5" s="6" t="s">
        <v>34</v>
      </c>
      <c r="Y5" s="6" t="s">
        <v>34</v>
      </c>
      <c r="Z5" s="6" t="s">
        <v>34</v>
      </c>
      <c r="AA5" s="6" t="s">
        <v>34</v>
      </c>
      <c r="AB5" s="6" t="s">
        <v>34</v>
      </c>
      <c r="AC5" s="6" t="s">
        <v>34</v>
      </c>
      <c r="AD5" s="6" t="s">
        <v>60</v>
      </c>
      <c r="AE5" s="6" t="s">
        <v>61</v>
      </c>
      <c r="AF5" s="6" t="s">
        <v>55</v>
      </c>
      <c r="AG5" s="6" t="s">
        <v>34</v>
      </c>
    </row>
    <row r="6" spans="1:33" ht="15.75" customHeight="1" x14ac:dyDescent="0.15">
      <c r="A6" s="6">
        <v>763</v>
      </c>
      <c r="B6" s="6" t="s">
        <v>47</v>
      </c>
      <c r="C6" s="7"/>
      <c r="D6" s="7"/>
      <c r="E6" s="7"/>
      <c r="F6" s="7"/>
      <c r="G6" s="7"/>
      <c r="H6" s="7"/>
      <c r="I6" s="7"/>
      <c r="J6" s="7"/>
      <c r="K6" s="7"/>
      <c r="L6" s="7"/>
      <c r="M6" s="7"/>
      <c r="N6" s="7"/>
      <c r="O6" s="8"/>
      <c r="P6" s="7"/>
      <c r="Q6" s="7"/>
      <c r="R6" s="7"/>
      <c r="S6" s="7"/>
      <c r="T6" s="7"/>
      <c r="U6" s="7"/>
      <c r="V6" s="6" t="s">
        <v>62</v>
      </c>
      <c r="W6" s="6">
        <v>43</v>
      </c>
      <c r="X6" s="6" t="s">
        <v>34</v>
      </c>
      <c r="Y6" s="6" t="s">
        <v>34</v>
      </c>
      <c r="Z6" s="6" t="s">
        <v>34</v>
      </c>
      <c r="AA6" s="6" t="s">
        <v>34</v>
      </c>
      <c r="AB6" s="6" t="s">
        <v>34</v>
      </c>
      <c r="AC6" s="6" t="s">
        <v>34</v>
      </c>
      <c r="AD6" s="6" t="s">
        <v>62</v>
      </c>
      <c r="AE6" s="6" t="s">
        <v>55</v>
      </c>
      <c r="AF6" s="6" t="s">
        <v>55</v>
      </c>
      <c r="AG6" s="6" t="s">
        <v>34</v>
      </c>
    </row>
    <row r="7" spans="1:33" ht="15.75" customHeight="1" x14ac:dyDescent="0.15">
      <c r="A7" s="6">
        <v>1271</v>
      </c>
      <c r="B7" s="6" t="s">
        <v>63</v>
      </c>
      <c r="C7" s="7" t="s">
        <v>32</v>
      </c>
      <c r="D7" s="7" t="s">
        <v>33</v>
      </c>
      <c r="E7" s="6" t="s">
        <v>64</v>
      </c>
      <c r="F7" s="7" t="s">
        <v>65</v>
      </c>
      <c r="G7" s="6" t="s">
        <v>66</v>
      </c>
      <c r="H7" s="6" t="s">
        <v>34</v>
      </c>
      <c r="I7" s="6" t="s">
        <v>67</v>
      </c>
      <c r="J7" s="6" t="s">
        <v>68</v>
      </c>
      <c r="K7" s="6" t="s">
        <v>69</v>
      </c>
      <c r="L7" s="6" t="s">
        <v>70</v>
      </c>
      <c r="M7" s="6" t="s">
        <v>71</v>
      </c>
      <c r="N7" s="6" t="s">
        <v>72</v>
      </c>
      <c r="O7" s="6" t="s">
        <v>73</v>
      </c>
      <c r="P7" s="6" t="s">
        <v>74</v>
      </c>
      <c r="Q7" s="6" t="s">
        <v>75</v>
      </c>
      <c r="R7" s="6" t="s">
        <v>76</v>
      </c>
      <c r="S7" s="6" t="s">
        <v>77</v>
      </c>
      <c r="T7" s="6" t="s">
        <v>78</v>
      </c>
      <c r="U7" s="6" t="s">
        <v>79</v>
      </c>
      <c r="V7" s="6" t="s">
        <v>33</v>
      </c>
      <c r="W7" s="9">
        <v>16606</v>
      </c>
      <c r="X7" s="6" t="s">
        <v>80</v>
      </c>
      <c r="Y7" s="6" t="s">
        <v>81</v>
      </c>
      <c r="Z7" s="6" t="s">
        <v>82</v>
      </c>
      <c r="AA7" s="6" t="s">
        <v>83</v>
      </c>
      <c r="AB7" s="6" t="s">
        <v>84</v>
      </c>
      <c r="AC7" s="6" t="s">
        <v>85</v>
      </c>
      <c r="AD7" s="6" t="s">
        <v>33</v>
      </c>
      <c r="AE7" s="6" t="s">
        <v>86</v>
      </c>
      <c r="AF7" s="6" t="s">
        <v>55</v>
      </c>
      <c r="AG7" s="6" t="s">
        <v>87</v>
      </c>
    </row>
    <row r="8" spans="1:33" ht="15.75" customHeight="1" x14ac:dyDescent="0.15">
      <c r="A8" s="6">
        <v>1271</v>
      </c>
      <c r="B8" s="6" t="s">
        <v>63</v>
      </c>
      <c r="C8" s="7"/>
      <c r="D8" s="7"/>
      <c r="E8" s="7"/>
      <c r="F8" s="7"/>
      <c r="G8" s="7"/>
      <c r="H8" s="7"/>
      <c r="I8" s="7"/>
      <c r="J8" s="7"/>
      <c r="K8" s="7"/>
      <c r="L8" s="7"/>
      <c r="M8" s="7"/>
      <c r="N8" s="7"/>
      <c r="O8" s="7"/>
      <c r="P8" s="7"/>
      <c r="Q8" s="7"/>
      <c r="R8" s="7"/>
      <c r="S8" s="7"/>
      <c r="T8" s="7"/>
      <c r="U8" s="7"/>
      <c r="V8" s="6" t="s">
        <v>46</v>
      </c>
      <c r="W8" s="9">
        <v>16606</v>
      </c>
      <c r="X8" s="6" t="s">
        <v>88</v>
      </c>
      <c r="Y8" s="6" t="s">
        <v>81</v>
      </c>
      <c r="Z8" s="6" t="s">
        <v>89</v>
      </c>
      <c r="AA8" s="6" t="s">
        <v>90</v>
      </c>
      <c r="AB8" s="6" t="s">
        <v>91</v>
      </c>
      <c r="AC8" s="6" t="s">
        <v>92</v>
      </c>
      <c r="AD8" s="6" t="s">
        <v>46</v>
      </c>
      <c r="AE8" s="6" t="s">
        <v>93</v>
      </c>
      <c r="AF8" s="6" t="s">
        <v>55</v>
      </c>
      <c r="AG8" s="6" t="s">
        <v>94</v>
      </c>
    </row>
    <row r="9" spans="1:33" ht="15.75" customHeight="1" x14ac:dyDescent="0.15">
      <c r="A9" s="6">
        <v>4065</v>
      </c>
      <c r="B9" s="6" t="s">
        <v>95</v>
      </c>
      <c r="C9" s="7" t="s">
        <v>32</v>
      </c>
      <c r="D9" s="7" t="s">
        <v>33</v>
      </c>
      <c r="E9" s="6" t="s">
        <v>64</v>
      </c>
      <c r="F9" s="6" t="s">
        <v>96</v>
      </c>
      <c r="G9" s="6" t="s">
        <v>97</v>
      </c>
      <c r="H9" s="6" t="s">
        <v>34</v>
      </c>
      <c r="I9" s="6" t="s">
        <v>98</v>
      </c>
      <c r="J9" s="6" t="s">
        <v>68</v>
      </c>
      <c r="K9" s="6" t="s">
        <v>69</v>
      </c>
      <c r="L9" s="6" t="s">
        <v>70</v>
      </c>
      <c r="M9" s="6" t="s">
        <v>55</v>
      </c>
      <c r="N9" s="6" t="s">
        <v>99</v>
      </c>
      <c r="O9" s="6" t="s">
        <v>73</v>
      </c>
      <c r="P9" s="6" t="s">
        <v>74</v>
      </c>
      <c r="Q9" s="6" t="s">
        <v>75</v>
      </c>
      <c r="R9" s="6" t="s">
        <v>76</v>
      </c>
      <c r="S9" s="6" t="s">
        <v>77</v>
      </c>
      <c r="T9" s="6" t="s">
        <v>78</v>
      </c>
      <c r="U9" s="6" t="s">
        <v>79</v>
      </c>
      <c r="V9" s="6" t="s">
        <v>33</v>
      </c>
      <c r="W9" s="9">
        <v>16606</v>
      </c>
      <c r="X9" s="6" t="s">
        <v>80</v>
      </c>
      <c r="Y9" s="6" t="s">
        <v>81</v>
      </c>
      <c r="Z9" s="6" t="s">
        <v>82</v>
      </c>
      <c r="AA9" s="6" t="s">
        <v>83</v>
      </c>
      <c r="AB9" s="6" t="s">
        <v>84</v>
      </c>
      <c r="AC9" s="6" t="s">
        <v>85</v>
      </c>
      <c r="AD9" s="6" t="s">
        <v>33</v>
      </c>
      <c r="AE9" s="6" t="s">
        <v>100</v>
      </c>
      <c r="AF9" s="6" t="s">
        <v>55</v>
      </c>
      <c r="AG9" s="6" t="s">
        <v>87</v>
      </c>
    </row>
    <row r="10" spans="1:33" ht="15.75" customHeight="1" x14ac:dyDescent="0.15">
      <c r="A10" s="6">
        <v>4065</v>
      </c>
      <c r="B10" s="6" t="s">
        <v>95</v>
      </c>
      <c r="C10" s="7"/>
      <c r="D10" s="7"/>
      <c r="E10" s="7"/>
      <c r="F10" s="7"/>
      <c r="G10" s="7"/>
      <c r="H10" s="7"/>
      <c r="I10" s="7"/>
      <c r="J10" s="7"/>
      <c r="K10" s="7"/>
      <c r="L10" s="7"/>
      <c r="M10" s="7"/>
      <c r="N10" s="7"/>
      <c r="O10" s="7"/>
      <c r="P10" s="7"/>
      <c r="Q10" s="7"/>
      <c r="R10" s="7"/>
      <c r="S10" s="7"/>
      <c r="T10" s="7"/>
      <c r="U10" s="7"/>
      <c r="V10" s="6" t="s">
        <v>46</v>
      </c>
      <c r="W10" s="9">
        <v>16606</v>
      </c>
      <c r="X10" s="6" t="s">
        <v>88</v>
      </c>
      <c r="Y10" s="6" t="s">
        <v>81</v>
      </c>
      <c r="Z10" s="6" t="s">
        <v>89</v>
      </c>
      <c r="AA10" s="6" t="s">
        <v>90</v>
      </c>
      <c r="AB10" s="6" t="s">
        <v>91</v>
      </c>
      <c r="AC10" s="6" t="s">
        <v>92</v>
      </c>
      <c r="AD10" s="6" t="s">
        <v>46</v>
      </c>
      <c r="AE10" s="6" t="s">
        <v>101</v>
      </c>
      <c r="AF10" s="6" t="s">
        <v>55</v>
      </c>
      <c r="AG10" s="6" t="s">
        <v>94</v>
      </c>
    </row>
    <row r="11" spans="1:33" ht="15.75" customHeight="1" x14ac:dyDescent="0.15">
      <c r="A11" s="6">
        <v>1899</v>
      </c>
      <c r="B11" s="6" t="s">
        <v>102</v>
      </c>
      <c r="C11" s="7" t="s">
        <v>32</v>
      </c>
      <c r="D11" s="7" t="s">
        <v>33</v>
      </c>
      <c r="E11" s="6" t="s">
        <v>34</v>
      </c>
      <c r="F11" s="7" t="s">
        <v>103</v>
      </c>
      <c r="G11" s="6" t="s">
        <v>104</v>
      </c>
      <c r="H11" s="6" t="s">
        <v>105</v>
      </c>
      <c r="I11" s="6" t="s">
        <v>106</v>
      </c>
      <c r="J11" s="6" t="s">
        <v>107</v>
      </c>
      <c r="K11" s="7" t="s">
        <v>108</v>
      </c>
      <c r="L11" s="6" t="s">
        <v>34</v>
      </c>
      <c r="M11" s="6" t="s">
        <v>55</v>
      </c>
      <c r="N11" s="7" t="s">
        <v>109</v>
      </c>
      <c r="O11" s="6" t="s">
        <v>110</v>
      </c>
      <c r="P11" s="6" t="s">
        <v>111</v>
      </c>
      <c r="Q11" s="6" t="s">
        <v>34</v>
      </c>
      <c r="R11" s="6" t="s">
        <v>34</v>
      </c>
      <c r="S11" s="6" t="s">
        <v>34</v>
      </c>
      <c r="T11" s="6" t="s">
        <v>34</v>
      </c>
      <c r="U11" s="6" t="s">
        <v>34</v>
      </c>
      <c r="V11" s="6" t="s">
        <v>33</v>
      </c>
      <c r="W11" s="6">
        <v>27</v>
      </c>
      <c r="X11" s="6" t="s">
        <v>34</v>
      </c>
      <c r="Y11" s="6" t="s">
        <v>34</v>
      </c>
      <c r="Z11" s="6" t="s">
        <v>34</v>
      </c>
      <c r="AA11" s="6" t="s">
        <v>34</v>
      </c>
      <c r="AB11" s="6" t="s">
        <v>34</v>
      </c>
      <c r="AC11" s="6" t="s">
        <v>34</v>
      </c>
      <c r="AD11" s="6" t="s">
        <v>33</v>
      </c>
      <c r="AE11" s="6" t="s">
        <v>112</v>
      </c>
      <c r="AF11" s="6" t="s">
        <v>55</v>
      </c>
      <c r="AG11" s="6" t="s">
        <v>34</v>
      </c>
    </row>
    <row r="12" spans="1:33" ht="15.75" customHeight="1" x14ac:dyDescent="0.15">
      <c r="A12" s="6">
        <v>1899</v>
      </c>
      <c r="B12" s="6" t="s">
        <v>102</v>
      </c>
      <c r="C12" s="7"/>
      <c r="D12" s="7"/>
      <c r="E12" s="7"/>
      <c r="F12" s="7"/>
      <c r="G12" s="7"/>
      <c r="H12" s="7"/>
      <c r="I12" s="7"/>
      <c r="J12" s="7"/>
      <c r="K12" s="7"/>
      <c r="L12" s="7"/>
      <c r="M12" s="7"/>
      <c r="N12" s="7"/>
      <c r="O12" s="7"/>
      <c r="P12" s="7"/>
      <c r="Q12" s="7"/>
      <c r="R12" s="7"/>
      <c r="S12" s="7"/>
      <c r="T12" s="7"/>
      <c r="U12" s="7"/>
      <c r="V12" s="6" t="s">
        <v>46</v>
      </c>
      <c r="W12" s="6">
        <v>173</v>
      </c>
      <c r="X12" s="6" t="s">
        <v>34</v>
      </c>
      <c r="Y12" s="6" t="s">
        <v>34</v>
      </c>
      <c r="Z12" s="6" t="s">
        <v>34</v>
      </c>
      <c r="AA12" s="6" t="s">
        <v>34</v>
      </c>
      <c r="AB12" s="6" t="s">
        <v>34</v>
      </c>
      <c r="AC12" s="6" t="s">
        <v>34</v>
      </c>
      <c r="AD12" s="6" t="s">
        <v>46</v>
      </c>
      <c r="AE12" s="6" t="s">
        <v>113</v>
      </c>
      <c r="AF12" s="6" t="s">
        <v>55</v>
      </c>
      <c r="AG12" s="6" t="s">
        <v>34</v>
      </c>
    </row>
    <row r="13" spans="1:33" ht="15.75" customHeight="1" x14ac:dyDescent="0.15">
      <c r="A13" s="6">
        <v>2341</v>
      </c>
      <c r="B13" s="6" t="s">
        <v>114</v>
      </c>
      <c r="C13" s="7" t="s">
        <v>32</v>
      </c>
      <c r="D13" s="7" t="s">
        <v>33</v>
      </c>
      <c r="E13" s="6" t="s">
        <v>115</v>
      </c>
      <c r="F13" s="6" t="s">
        <v>116</v>
      </c>
      <c r="G13" s="6" t="s">
        <v>34</v>
      </c>
      <c r="H13" s="6" t="s">
        <v>117</v>
      </c>
      <c r="I13" s="6" t="s">
        <v>34</v>
      </c>
      <c r="J13" s="6" t="s">
        <v>118</v>
      </c>
      <c r="K13" s="6" t="s">
        <v>119</v>
      </c>
      <c r="L13" s="6" t="s">
        <v>55</v>
      </c>
      <c r="M13" s="6" t="s">
        <v>34</v>
      </c>
      <c r="N13" s="6" t="s">
        <v>120</v>
      </c>
      <c r="O13" s="6">
        <v>167</v>
      </c>
      <c r="P13" s="6" t="s">
        <v>34</v>
      </c>
      <c r="Q13" s="6" t="s">
        <v>121</v>
      </c>
      <c r="R13" s="6" t="s">
        <v>34</v>
      </c>
      <c r="S13" s="6" t="s">
        <v>34</v>
      </c>
      <c r="T13" s="6" t="s">
        <v>34</v>
      </c>
      <c r="U13" s="6" t="s">
        <v>34</v>
      </c>
      <c r="V13" s="6" t="s">
        <v>33</v>
      </c>
      <c r="W13" s="6">
        <v>66</v>
      </c>
      <c r="X13" s="6" t="s">
        <v>122</v>
      </c>
      <c r="Y13" s="6" t="s">
        <v>121</v>
      </c>
      <c r="Z13" s="6" t="s">
        <v>34</v>
      </c>
      <c r="AA13" s="6" t="s">
        <v>34</v>
      </c>
      <c r="AB13" s="6" t="s">
        <v>123</v>
      </c>
      <c r="AC13" s="6" t="s">
        <v>34</v>
      </c>
      <c r="AD13" s="6" t="s">
        <v>33</v>
      </c>
      <c r="AE13" s="6" t="s">
        <v>124</v>
      </c>
      <c r="AF13" s="6" t="s">
        <v>34</v>
      </c>
      <c r="AG13" s="6" t="s">
        <v>34</v>
      </c>
    </row>
    <row r="14" spans="1:33" ht="15.75" customHeight="1" x14ac:dyDescent="0.15">
      <c r="A14" s="6">
        <v>2341</v>
      </c>
      <c r="B14" s="6" t="s">
        <v>114</v>
      </c>
      <c r="C14" s="7"/>
      <c r="D14" s="7"/>
      <c r="E14" s="6"/>
      <c r="F14" s="6"/>
      <c r="G14" s="6"/>
      <c r="H14" s="6"/>
      <c r="I14" s="6"/>
      <c r="J14" s="6"/>
      <c r="K14" s="6"/>
      <c r="L14" s="6"/>
      <c r="M14" s="6"/>
      <c r="N14" s="6"/>
      <c r="O14" s="6"/>
      <c r="P14" s="6"/>
      <c r="Q14" s="6"/>
      <c r="R14" s="6"/>
      <c r="S14" s="6"/>
      <c r="T14" s="6"/>
      <c r="U14" s="6"/>
      <c r="V14" s="6" t="s">
        <v>46</v>
      </c>
      <c r="W14" s="6">
        <v>101</v>
      </c>
      <c r="X14" s="6" t="s">
        <v>125</v>
      </c>
      <c r="Y14" s="6" t="s">
        <v>55</v>
      </c>
      <c r="Z14" s="6" t="s">
        <v>34</v>
      </c>
      <c r="AA14" s="6" t="s">
        <v>34</v>
      </c>
      <c r="AB14" s="6" t="s">
        <v>126</v>
      </c>
      <c r="AC14" s="6" t="s">
        <v>34</v>
      </c>
      <c r="AD14" s="6" t="s">
        <v>46</v>
      </c>
      <c r="AE14" s="6" t="s">
        <v>55</v>
      </c>
      <c r="AF14" s="6" t="s">
        <v>55</v>
      </c>
      <c r="AG14" s="6" t="s">
        <v>34</v>
      </c>
    </row>
    <row r="15" spans="1:33" ht="87.75" customHeight="1" x14ac:dyDescent="0.15">
      <c r="A15" s="6">
        <v>1200</v>
      </c>
      <c r="B15" s="6" t="s">
        <v>127</v>
      </c>
      <c r="C15" s="7" t="s">
        <v>32</v>
      </c>
      <c r="D15" s="7" t="s">
        <v>33</v>
      </c>
      <c r="E15" s="6" t="s">
        <v>34</v>
      </c>
      <c r="F15" s="6" t="s">
        <v>128</v>
      </c>
      <c r="G15" s="6" t="s">
        <v>129</v>
      </c>
      <c r="H15" s="6" t="s">
        <v>34</v>
      </c>
      <c r="I15" s="6" t="s">
        <v>130</v>
      </c>
      <c r="J15" s="6" t="s">
        <v>131</v>
      </c>
      <c r="K15" s="6" t="s">
        <v>132</v>
      </c>
      <c r="L15" s="6" t="s">
        <v>34</v>
      </c>
      <c r="M15" s="6" t="s">
        <v>34</v>
      </c>
      <c r="N15" s="6" t="s">
        <v>133</v>
      </c>
      <c r="O15" s="6" t="s">
        <v>134</v>
      </c>
      <c r="P15" s="6" t="s">
        <v>135</v>
      </c>
      <c r="Q15" s="6" t="s">
        <v>34</v>
      </c>
      <c r="R15" s="6" t="s">
        <v>136</v>
      </c>
      <c r="S15" s="6" t="s">
        <v>137</v>
      </c>
      <c r="T15" s="6" t="s">
        <v>138</v>
      </c>
      <c r="U15" s="6" t="s">
        <v>139</v>
      </c>
      <c r="V15" s="6" t="s">
        <v>33</v>
      </c>
      <c r="W15" s="6" t="s">
        <v>140</v>
      </c>
      <c r="X15" s="6" t="s">
        <v>141</v>
      </c>
      <c r="Y15" s="6" t="s">
        <v>142</v>
      </c>
      <c r="Z15" s="6" t="s">
        <v>143</v>
      </c>
      <c r="AA15" s="6" t="s">
        <v>144</v>
      </c>
      <c r="AB15" s="6" t="s">
        <v>145</v>
      </c>
      <c r="AC15" s="6" t="s">
        <v>146</v>
      </c>
      <c r="AD15" s="6" t="s">
        <v>33</v>
      </c>
      <c r="AE15" s="6" t="s">
        <v>147</v>
      </c>
      <c r="AF15" s="6" t="s">
        <v>148</v>
      </c>
      <c r="AG15" s="6" t="s">
        <v>34</v>
      </c>
    </row>
    <row r="16" spans="1:33" ht="99.75" customHeight="1" x14ac:dyDescent="0.15">
      <c r="A16" s="6">
        <v>1200</v>
      </c>
      <c r="B16" s="6" t="s">
        <v>127</v>
      </c>
      <c r="C16" s="7"/>
      <c r="D16" s="7"/>
      <c r="E16" s="6"/>
      <c r="F16" s="6"/>
      <c r="G16" s="6"/>
      <c r="H16" s="6"/>
      <c r="I16" s="6"/>
      <c r="J16" s="6"/>
      <c r="K16" s="6"/>
      <c r="L16" s="6"/>
      <c r="M16" s="6"/>
      <c r="N16" s="6"/>
      <c r="O16" s="6"/>
      <c r="P16" s="6"/>
      <c r="Q16" s="6"/>
      <c r="R16" s="6"/>
      <c r="S16" s="6"/>
      <c r="T16" s="6"/>
      <c r="U16" s="6"/>
      <c r="V16" s="6" t="s">
        <v>46</v>
      </c>
      <c r="W16" s="6" t="s">
        <v>149</v>
      </c>
      <c r="X16" s="6" t="s">
        <v>150</v>
      </c>
      <c r="Y16" s="6" t="s">
        <v>34</v>
      </c>
      <c r="Z16" s="6" t="s">
        <v>151</v>
      </c>
      <c r="AA16" s="6" t="s">
        <v>152</v>
      </c>
      <c r="AB16" s="6" t="s">
        <v>153</v>
      </c>
      <c r="AC16" s="6" t="s">
        <v>154</v>
      </c>
      <c r="AD16" s="6" t="s">
        <v>46</v>
      </c>
      <c r="AE16" s="6" t="s">
        <v>34</v>
      </c>
      <c r="AF16" s="6" t="s">
        <v>55</v>
      </c>
      <c r="AG16" s="6" t="s">
        <v>34</v>
      </c>
    </row>
    <row r="17" spans="1:33" ht="15.75" customHeight="1" x14ac:dyDescent="0.15">
      <c r="A17" s="6">
        <v>1238</v>
      </c>
      <c r="B17" s="6" t="s">
        <v>155</v>
      </c>
      <c r="C17" s="6" t="s">
        <v>32</v>
      </c>
      <c r="D17" s="6" t="s">
        <v>33</v>
      </c>
      <c r="E17" s="6" t="s">
        <v>34</v>
      </c>
      <c r="F17" s="6" t="s">
        <v>156</v>
      </c>
      <c r="G17" s="6" t="s">
        <v>157</v>
      </c>
      <c r="H17" s="6" t="s">
        <v>158</v>
      </c>
      <c r="I17" s="6" t="s">
        <v>34</v>
      </c>
      <c r="J17" s="6" t="s">
        <v>159</v>
      </c>
      <c r="K17" s="6" t="s">
        <v>160</v>
      </c>
      <c r="L17" s="6" t="s">
        <v>161</v>
      </c>
      <c r="M17" s="6" t="s">
        <v>55</v>
      </c>
      <c r="N17" s="6" t="s">
        <v>162</v>
      </c>
      <c r="O17" s="6" t="s">
        <v>163</v>
      </c>
      <c r="P17" s="6" t="s">
        <v>164</v>
      </c>
      <c r="Q17" s="6" t="s">
        <v>34</v>
      </c>
      <c r="R17" s="6" t="s">
        <v>34</v>
      </c>
      <c r="S17" s="6" t="s">
        <v>34</v>
      </c>
      <c r="T17" s="6" t="s">
        <v>34</v>
      </c>
      <c r="U17" s="6" t="s">
        <v>165</v>
      </c>
      <c r="V17" s="6" t="s">
        <v>33</v>
      </c>
      <c r="W17" s="6">
        <v>151</v>
      </c>
      <c r="X17" s="6" t="s">
        <v>34</v>
      </c>
      <c r="Y17" s="6" t="s">
        <v>34</v>
      </c>
      <c r="Z17" s="6" t="s">
        <v>34</v>
      </c>
      <c r="AA17" s="6" t="s">
        <v>34</v>
      </c>
      <c r="AB17" s="6" t="s">
        <v>34</v>
      </c>
      <c r="AC17" s="6" t="s">
        <v>34</v>
      </c>
      <c r="AD17" s="6" t="s">
        <v>33</v>
      </c>
      <c r="AE17" s="6" t="s">
        <v>166</v>
      </c>
      <c r="AF17" s="6" t="s">
        <v>167</v>
      </c>
      <c r="AG17" s="6" t="s">
        <v>34</v>
      </c>
    </row>
    <row r="18" spans="1:33" ht="15.75" customHeight="1" x14ac:dyDescent="0.15">
      <c r="A18" s="6">
        <v>1238</v>
      </c>
      <c r="B18" s="6" t="s">
        <v>155</v>
      </c>
      <c r="C18" s="7"/>
      <c r="D18" s="7"/>
      <c r="E18" s="7"/>
      <c r="F18" s="7"/>
      <c r="G18" s="7"/>
      <c r="H18" s="7"/>
      <c r="I18" s="7"/>
      <c r="J18" s="7"/>
      <c r="K18" s="7"/>
      <c r="L18" s="7"/>
      <c r="M18" s="7"/>
      <c r="N18" s="7"/>
      <c r="O18" s="7"/>
      <c r="P18" s="7"/>
      <c r="Q18" s="7"/>
      <c r="R18" s="7"/>
      <c r="S18" s="7"/>
      <c r="T18" s="7"/>
      <c r="U18" s="7"/>
      <c r="V18" s="6" t="s">
        <v>46</v>
      </c>
      <c r="W18" s="6">
        <v>140</v>
      </c>
      <c r="X18" s="6" t="s">
        <v>34</v>
      </c>
      <c r="Y18" s="6" t="s">
        <v>34</v>
      </c>
      <c r="Z18" s="6" t="s">
        <v>34</v>
      </c>
      <c r="AA18" s="6" t="s">
        <v>34</v>
      </c>
      <c r="AB18" s="6" t="s">
        <v>34</v>
      </c>
      <c r="AC18" s="6" t="s">
        <v>34</v>
      </c>
      <c r="AD18" s="6" t="s">
        <v>46</v>
      </c>
      <c r="AE18" s="6" t="s">
        <v>168</v>
      </c>
      <c r="AF18" s="6" t="s">
        <v>55</v>
      </c>
      <c r="AG18" s="6" t="s">
        <v>34</v>
      </c>
    </row>
    <row r="19" spans="1:33" ht="78" customHeight="1" x14ac:dyDescent="0.15">
      <c r="A19" s="6">
        <v>13443</v>
      </c>
      <c r="B19" s="6" t="s">
        <v>169</v>
      </c>
      <c r="C19" s="7" t="s">
        <v>170</v>
      </c>
      <c r="D19" s="7" t="s">
        <v>33</v>
      </c>
      <c r="E19" s="6" t="s">
        <v>171</v>
      </c>
      <c r="F19" s="6" t="s">
        <v>172</v>
      </c>
      <c r="G19" s="6" t="s">
        <v>173</v>
      </c>
      <c r="H19" s="6" t="s">
        <v>174</v>
      </c>
      <c r="I19" s="6" t="s">
        <v>175</v>
      </c>
      <c r="J19" s="6" t="s">
        <v>176</v>
      </c>
      <c r="K19" s="6" t="s">
        <v>177</v>
      </c>
      <c r="L19" s="6" t="s">
        <v>34</v>
      </c>
      <c r="M19" s="6" t="s">
        <v>34</v>
      </c>
      <c r="N19" s="7" t="s">
        <v>178</v>
      </c>
      <c r="O19" s="6" t="s">
        <v>179</v>
      </c>
      <c r="P19" s="6" t="s">
        <v>34</v>
      </c>
      <c r="Q19" s="6" t="s">
        <v>180</v>
      </c>
      <c r="R19" s="6" t="s">
        <v>181</v>
      </c>
      <c r="S19" s="6" t="s">
        <v>34</v>
      </c>
      <c r="T19" s="6" t="s">
        <v>34</v>
      </c>
      <c r="U19" s="6" t="s">
        <v>34</v>
      </c>
      <c r="V19" s="6" t="s">
        <v>33</v>
      </c>
      <c r="W19" s="6">
        <v>52</v>
      </c>
      <c r="X19" s="6" t="s">
        <v>182</v>
      </c>
      <c r="Y19" s="6" t="s">
        <v>183</v>
      </c>
      <c r="Z19" s="6" t="s">
        <v>181</v>
      </c>
      <c r="AA19" s="6" t="s">
        <v>34</v>
      </c>
      <c r="AB19" s="6" t="s">
        <v>184</v>
      </c>
      <c r="AC19" s="6" t="s">
        <v>34</v>
      </c>
      <c r="AD19" s="6" t="s">
        <v>33</v>
      </c>
      <c r="AE19" s="6" t="s">
        <v>185</v>
      </c>
      <c r="AF19" s="6" t="s">
        <v>186</v>
      </c>
      <c r="AG19" s="6" t="s">
        <v>34</v>
      </c>
    </row>
    <row r="20" spans="1:33" ht="15.75" customHeight="1" x14ac:dyDescent="0.15">
      <c r="A20" s="6">
        <v>13443</v>
      </c>
      <c r="B20" s="6" t="s">
        <v>169</v>
      </c>
      <c r="C20" s="7"/>
      <c r="D20" s="7"/>
      <c r="E20" s="7"/>
      <c r="F20" s="7"/>
      <c r="G20" s="7"/>
      <c r="H20" s="7"/>
      <c r="I20" s="7"/>
      <c r="J20" s="7"/>
      <c r="K20" s="7"/>
      <c r="L20" s="7"/>
      <c r="M20" s="7"/>
      <c r="N20" s="7"/>
      <c r="O20" s="7"/>
      <c r="P20" s="7"/>
      <c r="Q20" s="7"/>
      <c r="R20" s="7"/>
      <c r="S20" s="7"/>
      <c r="T20" s="7"/>
      <c r="U20" s="7"/>
      <c r="V20" s="6" t="s">
        <v>187</v>
      </c>
      <c r="W20" s="6">
        <v>51</v>
      </c>
      <c r="X20" s="6" t="s">
        <v>188</v>
      </c>
      <c r="Y20" s="6" t="s">
        <v>189</v>
      </c>
      <c r="Z20" s="6" t="s">
        <v>181</v>
      </c>
      <c r="AA20" s="6" t="s">
        <v>34</v>
      </c>
      <c r="AB20" s="6" t="s">
        <v>190</v>
      </c>
      <c r="AC20" s="6" t="s">
        <v>34</v>
      </c>
      <c r="AD20" s="6" t="s">
        <v>187</v>
      </c>
      <c r="AE20" s="6" t="s">
        <v>191</v>
      </c>
      <c r="AF20" s="6" t="s">
        <v>186</v>
      </c>
      <c r="AG20" s="6" t="s">
        <v>34</v>
      </c>
    </row>
    <row r="21" spans="1:33" ht="114.75" customHeight="1" x14ac:dyDescent="0.15">
      <c r="A21" s="6">
        <v>1417</v>
      </c>
      <c r="B21" s="6" t="s">
        <v>192</v>
      </c>
      <c r="C21" s="6" t="s">
        <v>32</v>
      </c>
      <c r="D21" s="6" t="s">
        <v>33</v>
      </c>
      <c r="E21" s="6" t="s">
        <v>193</v>
      </c>
      <c r="F21" s="6" t="s">
        <v>194</v>
      </c>
      <c r="G21" s="6" t="s">
        <v>195</v>
      </c>
      <c r="H21" s="6" t="s">
        <v>34</v>
      </c>
      <c r="I21" s="6" t="s">
        <v>196</v>
      </c>
      <c r="J21" s="6" t="s">
        <v>197</v>
      </c>
      <c r="K21" s="6" t="s">
        <v>198</v>
      </c>
      <c r="L21" s="6" t="s">
        <v>34</v>
      </c>
      <c r="M21" s="6" t="s">
        <v>55</v>
      </c>
      <c r="N21" s="6" t="s">
        <v>199</v>
      </c>
      <c r="O21" s="6" t="s">
        <v>200</v>
      </c>
      <c r="P21" s="6" t="s">
        <v>201</v>
      </c>
      <c r="Q21" s="6" t="s">
        <v>34</v>
      </c>
      <c r="R21" s="6" t="s">
        <v>202</v>
      </c>
      <c r="S21" s="6" t="s">
        <v>203</v>
      </c>
      <c r="T21" s="6" t="s">
        <v>204</v>
      </c>
      <c r="U21" s="6" t="s">
        <v>34</v>
      </c>
      <c r="V21" s="6" t="s">
        <v>33</v>
      </c>
      <c r="W21" s="9">
        <f>89073+103414</f>
        <v>192487</v>
      </c>
      <c r="X21" s="6" t="s">
        <v>205</v>
      </c>
      <c r="Y21" s="6" t="s">
        <v>34</v>
      </c>
      <c r="Z21" s="6" t="s">
        <v>206</v>
      </c>
      <c r="AA21" s="6" t="s">
        <v>207</v>
      </c>
      <c r="AB21" s="6" t="s">
        <v>208</v>
      </c>
      <c r="AC21" s="6" t="s">
        <v>34</v>
      </c>
      <c r="AD21" s="6" t="str">
        <f t="shared" ref="AD21:AD22" si="0">V21</f>
        <v>Tdap</v>
      </c>
      <c r="AE21" s="6" t="s">
        <v>209</v>
      </c>
      <c r="AF21" s="6" t="s">
        <v>55</v>
      </c>
      <c r="AG21" s="6" t="s">
        <v>210</v>
      </c>
    </row>
    <row r="22" spans="1:33" ht="114.75" customHeight="1" x14ac:dyDescent="0.15">
      <c r="A22" s="6">
        <v>1417</v>
      </c>
      <c r="B22" s="6" t="s">
        <v>192</v>
      </c>
      <c r="C22" s="7"/>
      <c r="D22" s="7"/>
      <c r="E22" s="7"/>
      <c r="F22" s="7"/>
      <c r="G22" s="7"/>
      <c r="H22" s="7"/>
      <c r="I22" s="7"/>
      <c r="J22" s="7"/>
      <c r="K22" s="7"/>
      <c r="L22" s="7"/>
      <c r="M22" s="7"/>
      <c r="N22" s="7"/>
      <c r="O22" s="7"/>
      <c r="P22" s="7"/>
      <c r="Q22" s="7"/>
      <c r="R22" s="7"/>
      <c r="S22" s="7"/>
      <c r="T22" s="7"/>
      <c r="U22" s="7"/>
      <c r="V22" s="6" t="s">
        <v>46</v>
      </c>
      <c r="W22" s="9">
        <f>19712+37160</f>
        <v>56872</v>
      </c>
      <c r="X22" s="6" t="s">
        <v>211</v>
      </c>
      <c r="Y22" s="6" t="s">
        <v>55</v>
      </c>
      <c r="Z22" s="6" t="s">
        <v>212</v>
      </c>
      <c r="AA22" s="6" t="s">
        <v>213</v>
      </c>
      <c r="AB22" s="6" t="s">
        <v>214</v>
      </c>
      <c r="AC22" s="6" t="s">
        <v>34</v>
      </c>
      <c r="AD22" s="6" t="str">
        <f t="shared" si="0"/>
        <v>No Tdap</v>
      </c>
      <c r="AE22" s="6" t="s">
        <v>215</v>
      </c>
      <c r="AF22" s="6" t="s">
        <v>55</v>
      </c>
      <c r="AG22" s="6" t="s">
        <v>216</v>
      </c>
    </row>
    <row r="23" spans="1:33" ht="15.75" customHeight="1" x14ac:dyDescent="0.15">
      <c r="A23" s="7">
        <v>1667</v>
      </c>
      <c r="B23" s="7" t="s">
        <v>217</v>
      </c>
      <c r="C23" s="7" t="s">
        <v>32</v>
      </c>
      <c r="D23" s="7" t="s">
        <v>33</v>
      </c>
      <c r="E23" s="6" t="s">
        <v>34</v>
      </c>
      <c r="F23" s="6" t="s">
        <v>218</v>
      </c>
      <c r="G23" s="6" t="s">
        <v>219</v>
      </c>
      <c r="H23" s="6" t="s">
        <v>220</v>
      </c>
      <c r="I23" s="6" t="s">
        <v>221</v>
      </c>
      <c r="J23" s="6" t="s">
        <v>222</v>
      </c>
      <c r="K23" s="6" t="s">
        <v>223</v>
      </c>
      <c r="L23" s="6" t="s">
        <v>224</v>
      </c>
      <c r="M23" s="6" t="s">
        <v>34</v>
      </c>
      <c r="N23" s="6" t="s">
        <v>225</v>
      </c>
      <c r="O23" s="6" t="s">
        <v>226</v>
      </c>
      <c r="P23" s="6" t="s">
        <v>227</v>
      </c>
      <c r="Q23" s="6" t="s">
        <v>34</v>
      </c>
      <c r="R23" s="6" t="s">
        <v>34</v>
      </c>
      <c r="S23" s="6" t="s">
        <v>34</v>
      </c>
      <c r="T23" s="6" t="s">
        <v>34</v>
      </c>
      <c r="U23" s="6" t="s">
        <v>228</v>
      </c>
      <c r="V23" s="6" t="s">
        <v>33</v>
      </c>
      <c r="W23" s="6">
        <v>745</v>
      </c>
      <c r="X23" s="6" t="s">
        <v>34</v>
      </c>
      <c r="Y23" s="6" t="s">
        <v>34</v>
      </c>
      <c r="Z23" s="6" t="s">
        <v>34</v>
      </c>
      <c r="AA23" s="6" t="s">
        <v>34</v>
      </c>
      <c r="AB23" s="6" t="s">
        <v>34</v>
      </c>
      <c r="AC23" s="6" t="s">
        <v>34</v>
      </c>
      <c r="AD23" s="6" t="s">
        <v>33</v>
      </c>
      <c r="AE23" s="6" t="s">
        <v>229</v>
      </c>
      <c r="AF23" s="6" t="s">
        <v>34</v>
      </c>
      <c r="AG23" s="6" t="s">
        <v>34</v>
      </c>
    </row>
    <row r="24" spans="1:33" ht="15.75" customHeight="1" x14ac:dyDescent="0.15">
      <c r="A24" s="7">
        <v>1667</v>
      </c>
      <c r="B24" s="7" t="s">
        <v>217</v>
      </c>
      <c r="C24" s="7"/>
      <c r="D24" s="7"/>
      <c r="E24" s="7"/>
      <c r="F24" s="7"/>
      <c r="G24" s="7"/>
      <c r="H24" s="7"/>
      <c r="I24" s="7"/>
      <c r="J24" s="7"/>
      <c r="K24" s="7"/>
      <c r="L24" s="7"/>
      <c r="M24" s="7"/>
      <c r="N24" s="7"/>
      <c r="O24" s="7"/>
      <c r="P24" s="7"/>
      <c r="Q24" s="7"/>
      <c r="R24" s="7"/>
      <c r="S24" s="7"/>
      <c r="T24" s="7"/>
      <c r="U24" s="7"/>
      <c r="V24" s="6" t="s">
        <v>46</v>
      </c>
      <c r="W24" s="6">
        <v>260</v>
      </c>
      <c r="X24" s="6" t="s">
        <v>34</v>
      </c>
      <c r="Y24" s="6" t="s">
        <v>34</v>
      </c>
      <c r="Z24" s="6" t="s">
        <v>34</v>
      </c>
      <c r="AA24" s="6" t="s">
        <v>34</v>
      </c>
      <c r="AB24" s="6" t="s">
        <v>34</v>
      </c>
      <c r="AC24" s="6" t="s">
        <v>34</v>
      </c>
      <c r="AD24" s="6" t="s">
        <v>46</v>
      </c>
      <c r="AE24" s="6" t="s">
        <v>230</v>
      </c>
      <c r="AF24" s="6" t="s">
        <v>34</v>
      </c>
      <c r="AG24" s="6" t="s">
        <v>34</v>
      </c>
    </row>
    <row r="25" spans="1:33" ht="15.75" customHeight="1" x14ac:dyDescent="0.15">
      <c r="A25" s="6">
        <v>4288</v>
      </c>
      <c r="B25" s="6" t="s">
        <v>231</v>
      </c>
      <c r="C25" s="7" t="s">
        <v>32</v>
      </c>
      <c r="D25" s="7" t="s">
        <v>33</v>
      </c>
      <c r="E25" s="6" t="s">
        <v>34</v>
      </c>
      <c r="F25" s="6" t="s">
        <v>232</v>
      </c>
      <c r="G25" s="6" t="s">
        <v>233</v>
      </c>
      <c r="H25" s="6" t="s">
        <v>234</v>
      </c>
      <c r="I25" s="6" t="s">
        <v>34</v>
      </c>
      <c r="J25" s="6" t="s">
        <v>235</v>
      </c>
      <c r="K25" s="6" t="s">
        <v>236</v>
      </c>
      <c r="L25" s="6" t="s">
        <v>237</v>
      </c>
      <c r="M25" s="6" t="s">
        <v>55</v>
      </c>
      <c r="N25" s="6" t="s">
        <v>238</v>
      </c>
      <c r="O25" s="6" t="s">
        <v>239</v>
      </c>
      <c r="P25" s="6" t="s">
        <v>240</v>
      </c>
      <c r="Q25" s="6" t="s">
        <v>34</v>
      </c>
      <c r="R25" s="6" t="s">
        <v>34</v>
      </c>
      <c r="S25" s="6" t="s">
        <v>34</v>
      </c>
      <c r="T25" s="6" t="s">
        <v>34</v>
      </c>
      <c r="U25" s="6" t="s">
        <v>34</v>
      </c>
      <c r="V25" s="6" t="s">
        <v>33</v>
      </c>
      <c r="W25" s="6">
        <v>135</v>
      </c>
      <c r="X25" s="6" t="s">
        <v>241</v>
      </c>
      <c r="Y25" s="6" t="s">
        <v>242</v>
      </c>
      <c r="Z25" s="6" t="s">
        <v>243</v>
      </c>
      <c r="AA25" s="6" t="s">
        <v>34</v>
      </c>
      <c r="AB25" s="6" t="s">
        <v>34</v>
      </c>
      <c r="AC25" s="6" t="s">
        <v>34</v>
      </c>
      <c r="AD25" s="6" t="s">
        <v>33</v>
      </c>
      <c r="AE25" s="6" t="s">
        <v>244</v>
      </c>
      <c r="AF25" s="6" t="s">
        <v>245</v>
      </c>
      <c r="AG25" s="6" t="s">
        <v>34</v>
      </c>
    </row>
    <row r="26" spans="1:33" ht="15.75" customHeight="1" x14ac:dyDescent="0.15">
      <c r="A26" s="6">
        <v>4288</v>
      </c>
      <c r="B26" s="6" t="s">
        <v>231</v>
      </c>
      <c r="C26" s="7"/>
      <c r="D26" s="7"/>
      <c r="E26" s="7"/>
      <c r="F26" s="7"/>
      <c r="G26" s="7"/>
      <c r="H26" s="7"/>
      <c r="I26" s="7"/>
      <c r="J26" s="7"/>
      <c r="K26" s="7"/>
      <c r="L26" s="7"/>
      <c r="M26" s="7"/>
      <c r="N26" s="7"/>
      <c r="O26" s="7"/>
      <c r="P26" s="7"/>
      <c r="Q26" s="7"/>
      <c r="R26" s="7"/>
      <c r="S26" s="7"/>
      <c r="T26" s="7"/>
      <c r="U26" s="7"/>
      <c r="V26" s="6" t="s">
        <v>46</v>
      </c>
      <c r="W26" s="6">
        <v>25</v>
      </c>
      <c r="X26" s="6" t="s">
        <v>246</v>
      </c>
      <c r="Y26" s="6" t="s">
        <v>34</v>
      </c>
      <c r="Z26" s="6" t="s">
        <v>243</v>
      </c>
      <c r="AA26" s="6" t="s">
        <v>34</v>
      </c>
      <c r="AB26" s="6" t="s">
        <v>34</v>
      </c>
      <c r="AC26" s="6" t="s">
        <v>34</v>
      </c>
      <c r="AD26" s="6" t="s">
        <v>46</v>
      </c>
      <c r="AE26" s="6" t="s">
        <v>247</v>
      </c>
      <c r="AF26" s="6" t="s">
        <v>55</v>
      </c>
      <c r="AG26" s="6" t="s">
        <v>34</v>
      </c>
    </row>
    <row r="27" spans="1:33" ht="15.75" customHeight="1" x14ac:dyDescent="0.15">
      <c r="A27" s="6">
        <v>358</v>
      </c>
      <c r="B27" s="6" t="s">
        <v>248</v>
      </c>
      <c r="C27" s="7" t="s">
        <v>170</v>
      </c>
      <c r="D27" s="7" t="s">
        <v>33</v>
      </c>
      <c r="E27" s="6" t="s">
        <v>64</v>
      </c>
      <c r="F27" s="6" t="s">
        <v>249</v>
      </c>
      <c r="G27" s="6" t="s">
        <v>250</v>
      </c>
      <c r="H27" s="6" t="s">
        <v>251</v>
      </c>
      <c r="I27" s="6" t="s">
        <v>252</v>
      </c>
      <c r="J27" s="6" t="s">
        <v>253</v>
      </c>
      <c r="K27" s="6" t="s">
        <v>254</v>
      </c>
      <c r="L27" s="6" t="s">
        <v>255</v>
      </c>
      <c r="M27" s="6" t="s">
        <v>256</v>
      </c>
      <c r="N27" s="6" t="s">
        <v>257</v>
      </c>
      <c r="O27" s="6" t="s">
        <v>258</v>
      </c>
      <c r="P27" s="6" t="s">
        <v>259</v>
      </c>
      <c r="Q27" s="6" t="s">
        <v>55</v>
      </c>
      <c r="R27" s="6" t="s">
        <v>34</v>
      </c>
      <c r="S27" s="6" t="s">
        <v>34</v>
      </c>
      <c r="T27" s="6" t="s">
        <v>34</v>
      </c>
      <c r="U27" s="6" t="s">
        <v>34</v>
      </c>
      <c r="V27" s="6" t="s">
        <v>33</v>
      </c>
      <c r="W27" s="6">
        <v>58</v>
      </c>
      <c r="X27" s="6" t="s">
        <v>260</v>
      </c>
      <c r="Y27" s="6" t="s">
        <v>261</v>
      </c>
      <c r="Z27" s="6" t="s">
        <v>34</v>
      </c>
      <c r="AA27" s="6" t="s">
        <v>34</v>
      </c>
      <c r="AB27" s="6" t="s">
        <v>34</v>
      </c>
      <c r="AC27" s="6" t="s">
        <v>34</v>
      </c>
      <c r="AD27" s="6" t="s">
        <v>33</v>
      </c>
      <c r="AE27" s="6" t="s">
        <v>262</v>
      </c>
      <c r="AF27" s="6" t="s">
        <v>261</v>
      </c>
      <c r="AG27" s="6"/>
    </row>
    <row r="28" spans="1:33" ht="15.75" customHeight="1" x14ac:dyDescent="0.15">
      <c r="A28" s="6">
        <v>358</v>
      </c>
      <c r="B28" s="6" t="s">
        <v>248</v>
      </c>
      <c r="C28" s="7"/>
      <c r="D28" s="7"/>
      <c r="E28" s="6"/>
      <c r="F28" s="6"/>
      <c r="G28" s="6"/>
      <c r="H28" s="6"/>
      <c r="I28" s="6"/>
      <c r="J28" s="6"/>
      <c r="K28" s="6"/>
      <c r="L28" s="6"/>
      <c r="M28" s="6"/>
      <c r="N28" s="6"/>
      <c r="O28" s="6"/>
      <c r="P28" s="6"/>
      <c r="Q28" s="6"/>
      <c r="R28" s="6"/>
      <c r="S28" s="6"/>
      <c r="T28" s="6"/>
      <c r="U28" s="6"/>
      <c r="V28" s="6" t="s">
        <v>46</v>
      </c>
      <c r="W28" s="6">
        <v>60</v>
      </c>
      <c r="X28" s="6" t="s">
        <v>263</v>
      </c>
      <c r="Y28" s="6" t="s">
        <v>55</v>
      </c>
      <c r="Z28" s="6" t="s">
        <v>34</v>
      </c>
      <c r="AA28" s="6" t="s">
        <v>34</v>
      </c>
      <c r="AB28" s="6" t="s">
        <v>34</v>
      </c>
      <c r="AC28" s="6" t="s">
        <v>34</v>
      </c>
      <c r="AD28" s="6" t="s">
        <v>46</v>
      </c>
      <c r="AE28" s="6" t="s">
        <v>264</v>
      </c>
      <c r="AF28" s="6" t="s">
        <v>55</v>
      </c>
      <c r="AG28" s="6"/>
    </row>
    <row r="29" spans="1:33" ht="15.75" customHeight="1" x14ac:dyDescent="0.15">
      <c r="A29" s="6">
        <v>2902</v>
      </c>
      <c r="B29" s="6" t="s">
        <v>265</v>
      </c>
      <c r="C29" s="7" t="s">
        <v>32</v>
      </c>
      <c r="D29" s="7" t="s">
        <v>33</v>
      </c>
      <c r="E29" s="6" t="s">
        <v>34</v>
      </c>
      <c r="F29" s="6" t="s">
        <v>266</v>
      </c>
      <c r="G29" s="6" t="s">
        <v>267</v>
      </c>
      <c r="H29" s="6" t="s">
        <v>268</v>
      </c>
      <c r="I29" s="6" t="s">
        <v>269</v>
      </c>
      <c r="J29" s="6" t="s">
        <v>159</v>
      </c>
      <c r="K29" s="6" t="s">
        <v>270</v>
      </c>
      <c r="L29" s="6" t="s">
        <v>34</v>
      </c>
      <c r="M29" s="6" t="s">
        <v>55</v>
      </c>
      <c r="N29" s="7" t="s">
        <v>271</v>
      </c>
      <c r="O29" s="6" t="s">
        <v>272</v>
      </c>
      <c r="P29" s="6" t="s">
        <v>34</v>
      </c>
      <c r="Q29" s="6" t="s">
        <v>34</v>
      </c>
      <c r="R29" s="6" t="s">
        <v>34</v>
      </c>
      <c r="S29" s="6" t="s">
        <v>34</v>
      </c>
      <c r="T29" s="6" t="s">
        <v>34</v>
      </c>
      <c r="U29" s="6" t="s">
        <v>34</v>
      </c>
      <c r="V29" s="6" t="s">
        <v>33</v>
      </c>
      <c r="W29" s="6">
        <v>191</v>
      </c>
      <c r="X29" s="6" t="s">
        <v>34</v>
      </c>
      <c r="Y29" s="6" t="s">
        <v>34</v>
      </c>
      <c r="Z29" s="6" t="s">
        <v>34</v>
      </c>
      <c r="AA29" s="6" t="s">
        <v>34</v>
      </c>
      <c r="AB29" s="6" t="s">
        <v>34</v>
      </c>
      <c r="AC29" s="6" t="s">
        <v>34</v>
      </c>
      <c r="AD29" s="6" t="s">
        <v>33</v>
      </c>
      <c r="AE29" s="6" t="s">
        <v>273</v>
      </c>
      <c r="AF29" s="6" t="s">
        <v>55</v>
      </c>
      <c r="AG29" s="6" t="s">
        <v>34</v>
      </c>
    </row>
    <row r="30" spans="1:33" ht="15.75" customHeight="1" x14ac:dyDescent="0.15">
      <c r="A30" s="6">
        <v>2902</v>
      </c>
      <c r="B30" s="6" t="s">
        <v>265</v>
      </c>
      <c r="C30" s="7"/>
      <c r="D30" s="7"/>
      <c r="E30" s="7"/>
      <c r="F30" s="7"/>
      <c r="G30" s="7"/>
      <c r="H30" s="7"/>
      <c r="I30" s="7"/>
      <c r="J30" s="7"/>
      <c r="K30" s="7"/>
      <c r="L30" s="7"/>
      <c r="M30" s="7"/>
      <c r="N30" s="7"/>
      <c r="O30" s="7"/>
      <c r="P30" s="7"/>
      <c r="Q30" s="7"/>
      <c r="R30" s="7"/>
      <c r="S30" s="7"/>
      <c r="T30" s="7"/>
      <c r="U30" s="7"/>
      <c r="V30" s="6" t="s">
        <v>46</v>
      </c>
      <c r="W30" s="6">
        <v>76</v>
      </c>
      <c r="X30" s="6" t="s">
        <v>34</v>
      </c>
      <c r="Y30" s="6" t="s">
        <v>34</v>
      </c>
      <c r="Z30" s="6" t="s">
        <v>34</v>
      </c>
      <c r="AA30" s="6" t="s">
        <v>34</v>
      </c>
      <c r="AB30" s="6" t="s">
        <v>34</v>
      </c>
      <c r="AC30" s="6" t="s">
        <v>34</v>
      </c>
      <c r="AD30" s="6" t="s">
        <v>46</v>
      </c>
      <c r="AE30" s="6" t="s">
        <v>274</v>
      </c>
      <c r="AF30" s="6" t="s">
        <v>55</v>
      </c>
      <c r="AG30" s="6" t="s">
        <v>34</v>
      </c>
    </row>
    <row r="31" spans="1:33" ht="98.25" customHeight="1" x14ac:dyDescent="0.15">
      <c r="A31" s="6">
        <v>3211</v>
      </c>
      <c r="B31" s="6" t="s">
        <v>275</v>
      </c>
      <c r="C31" s="7" t="s">
        <v>32</v>
      </c>
      <c r="D31" s="7" t="s">
        <v>33</v>
      </c>
      <c r="E31" s="6" t="s">
        <v>34</v>
      </c>
      <c r="F31" s="6" t="s">
        <v>276</v>
      </c>
      <c r="G31" s="6" t="s">
        <v>277</v>
      </c>
      <c r="H31" s="6" t="s">
        <v>34</v>
      </c>
      <c r="I31" s="7" t="s">
        <v>278</v>
      </c>
      <c r="J31" s="6" t="s">
        <v>279</v>
      </c>
      <c r="K31" s="6" t="s">
        <v>280</v>
      </c>
      <c r="L31" s="6" t="s">
        <v>281</v>
      </c>
      <c r="M31" s="6" t="s">
        <v>55</v>
      </c>
      <c r="N31" s="6" t="s">
        <v>282</v>
      </c>
      <c r="O31" s="6" t="s">
        <v>283</v>
      </c>
      <c r="P31" s="6" t="s">
        <v>284</v>
      </c>
      <c r="Q31" s="6" t="s">
        <v>34</v>
      </c>
      <c r="R31" s="6" t="s">
        <v>285</v>
      </c>
      <c r="S31" s="6" t="s">
        <v>286</v>
      </c>
      <c r="T31" s="6" t="s">
        <v>287</v>
      </c>
      <c r="U31" s="6" t="s">
        <v>288</v>
      </c>
      <c r="V31" s="6" t="s">
        <v>33</v>
      </c>
      <c r="W31" s="9">
        <v>8299</v>
      </c>
      <c r="X31" s="6" t="s">
        <v>289</v>
      </c>
      <c r="Y31" s="6" t="s">
        <v>34</v>
      </c>
      <c r="Z31" s="6" t="s">
        <v>290</v>
      </c>
      <c r="AA31" s="6" t="s">
        <v>291</v>
      </c>
      <c r="AB31" s="6" t="s">
        <v>292</v>
      </c>
      <c r="AC31" s="6" t="s">
        <v>293</v>
      </c>
      <c r="AD31" s="6" t="s">
        <v>33</v>
      </c>
      <c r="AE31" s="6" t="s">
        <v>294</v>
      </c>
      <c r="AF31" s="6" t="s">
        <v>55</v>
      </c>
      <c r="AG31" s="6" t="s">
        <v>295</v>
      </c>
    </row>
    <row r="32" spans="1:33" ht="99" customHeight="1" x14ac:dyDescent="0.15">
      <c r="A32" s="6">
        <v>3211</v>
      </c>
      <c r="B32" s="6" t="s">
        <v>275</v>
      </c>
      <c r="C32" s="7"/>
      <c r="D32" s="7"/>
      <c r="E32" s="7"/>
      <c r="F32" s="7"/>
      <c r="G32" s="7"/>
      <c r="H32" s="7"/>
      <c r="I32" s="7"/>
      <c r="J32" s="7"/>
      <c r="K32" s="7"/>
      <c r="L32" s="7"/>
      <c r="M32" s="7"/>
      <c r="N32" s="7"/>
      <c r="O32" s="7"/>
      <c r="P32" s="7"/>
      <c r="Q32" s="7"/>
      <c r="R32" s="7"/>
      <c r="S32" s="7"/>
      <c r="T32" s="7"/>
      <c r="U32" s="7"/>
      <c r="V32" s="6" t="s">
        <v>46</v>
      </c>
      <c r="W32" s="9">
        <v>61090</v>
      </c>
      <c r="X32" s="6" t="s">
        <v>296</v>
      </c>
      <c r="Y32" s="6" t="s">
        <v>34</v>
      </c>
      <c r="Z32" s="6" t="s">
        <v>297</v>
      </c>
      <c r="AA32" s="6" t="s">
        <v>298</v>
      </c>
      <c r="AB32" s="6" t="s">
        <v>299</v>
      </c>
      <c r="AC32" s="6" t="s">
        <v>300</v>
      </c>
      <c r="AD32" s="6" t="s">
        <v>46</v>
      </c>
      <c r="AE32" s="6" t="s">
        <v>301</v>
      </c>
      <c r="AF32" s="6" t="s">
        <v>55</v>
      </c>
      <c r="AG32" s="6" t="s">
        <v>302</v>
      </c>
    </row>
    <row r="33" spans="1:33" ht="15.75" customHeight="1" x14ac:dyDescent="0.15">
      <c r="A33" s="6">
        <v>79</v>
      </c>
      <c r="B33" s="6" t="s">
        <v>303</v>
      </c>
      <c r="C33" s="7" t="s">
        <v>32</v>
      </c>
      <c r="D33" s="7" t="s">
        <v>33</v>
      </c>
      <c r="E33" s="6" t="s">
        <v>34</v>
      </c>
      <c r="F33" s="6" t="s">
        <v>304</v>
      </c>
      <c r="G33" s="6" t="s">
        <v>305</v>
      </c>
      <c r="H33" s="6" t="s">
        <v>306</v>
      </c>
      <c r="I33" s="6" t="s">
        <v>34</v>
      </c>
      <c r="J33" s="6" t="s">
        <v>307</v>
      </c>
      <c r="K33" s="6" t="s">
        <v>308</v>
      </c>
      <c r="L33" s="6" t="s">
        <v>34</v>
      </c>
      <c r="M33" s="6" t="s">
        <v>34</v>
      </c>
      <c r="N33" s="6" t="s">
        <v>309</v>
      </c>
      <c r="O33" s="6" t="s">
        <v>310</v>
      </c>
      <c r="P33" s="6" t="s">
        <v>311</v>
      </c>
      <c r="Q33" s="6" t="s">
        <v>312</v>
      </c>
      <c r="R33" s="6" t="s">
        <v>34</v>
      </c>
      <c r="S33" s="6" t="s">
        <v>34</v>
      </c>
      <c r="T33" s="6" t="s">
        <v>313</v>
      </c>
      <c r="U33" s="6" t="s">
        <v>34</v>
      </c>
      <c r="V33" s="6" t="s">
        <v>33</v>
      </c>
      <c r="W33" s="6">
        <v>90</v>
      </c>
      <c r="X33" s="6" t="s">
        <v>314</v>
      </c>
      <c r="Y33" s="6" t="s">
        <v>315</v>
      </c>
      <c r="Z33" s="6" t="s">
        <v>34</v>
      </c>
      <c r="AA33" s="6" t="s">
        <v>34</v>
      </c>
      <c r="AB33" s="6" t="s">
        <v>316</v>
      </c>
      <c r="AC33" s="6" t="s">
        <v>34</v>
      </c>
      <c r="AD33" s="6" t="s">
        <v>33</v>
      </c>
      <c r="AE33" s="6" t="s">
        <v>317</v>
      </c>
      <c r="AF33" s="6" t="s">
        <v>318</v>
      </c>
      <c r="AG33" s="6"/>
    </row>
    <row r="34" spans="1:33" ht="15.75" customHeight="1" x14ac:dyDescent="0.15">
      <c r="A34" s="6">
        <v>79</v>
      </c>
      <c r="B34" s="6" t="s">
        <v>303</v>
      </c>
      <c r="C34" s="7"/>
      <c r="D34" s="7"/>
      <c r="E34" s="6"/>
      <c r="F34" s="6"/>
      <c r="G34" s="6"/>
      <c r="H34" s="6"/>
      <c r="I34" s="6"/>
      <c r="J34" s="6"/>
      <c r="K34" s="6"/>
      <c r="L34" s="6"/>
      <c r="M34" s="6"/>
      <c r="N34" s="6"/>
      <c r="O34" s="6"/>
      <c r="P34" s="6"/>
      <c r="Q34" s="6"/>
      <c r="R34" s="6"/>
      <c r="S34" s="6"/>
      <c r="T34" s="6"/>
      <c r="U34" s="6"/>
      <c r="V34" s="6" t="s">
        <v>46</v>
      </c>
      <c r="W34" s="6">
        <v>22</v>
      </c>
      <c r="X34" s="6" t="s">
        <v>319</v>
      </c>
      <c r="Y34" s="6" t="s">
        <v>55</v>
      </c>
      <c r="Z34" s="6"/>
      <c r="AA34" s="6"/>
      <c r="AB34" s="6" t="s">
        <v>320</v>
      </c>
      <c r="AC34" s="6" t="s">
        <v>34</v>
      </c>
      <c r="AD34" s="6" t="s">
        <v>46</v>
      </c>
      <c r="AE34" s="6"/>
      <c r="AF34" s="6"/>
      <c r="AG34" s="6"/>
    </row>
    <row r="35" spans="1:33" ht="15.75" customHeight="1" x14ac:dyDescent="0.15">
      <c r="A35" s="6">
        <v>79</v>
      </c>
      <c r="B35" s="6" t="s">
        <v>303</v>
      </c>
      <c r="C35" s="7"/>
      <c r="D35" s="7"/>
      <c r="E35" s="6"/>
      <c r="F35" s="6"/>
      <c r="G35" s="6"/>
      <c r="H35" s="6"/>
      <c r="I35" s="6"/>
      <c r="J35" s="6"/>
      <c r="K35" s="6"/>
      <c r="L35" s="6"/>
      <c r="M35" s="6"/>
      <c r="N35" s="6"/>
      <c r="O35" s="6"/>
      <c r="P35" s="6"/>
      <c r="Q35" s="6"/>
      <c r="R35" s="6"/>
      <c r="S35" s="6"/>
      <c r="T35" s="6"/>
      <c r="U35" s="6"/>
      <c r="V35" s="6" t="s">
        <v>321</v>
      </c>
      <c r="W35" s="6">
        <v>43</v>
      </c>
      <c r="X35" s="6" t="s">
        <v>322</v>
      </c>
      <c r="Y35" s="6" t="s">
        <v>323</v>
      </c>
      <c r="Z35" s="6" t="s">
        <v>34</v>
      </c>
      <c r="AA35" s="6" t="s">
        <v>34</v>
      </c>
      <c r="AB35" s="6" t="s">
        <v>324</v>
      </c>
      <c r="AC35" s="6" t="s">
        <v>34</v>
      </c>
      <c r="AD35" s="6" t="s">
        <v>321</v>
      </c>
      <c r="AE35" s="6" t="s">
        <v>325</v>
      </c>
      <c r="AF35" s="6" t="s">
        <v>326</v>
      </c>
      <c r="AG35" s="6" t="s">
        <v>34</v>
      </c>
    </row>
    <row r="36" spans="1:33" ht="15.75" customHeight="1" x14ac:dyDescent="0.15">
      <c r="A36" s="6">
        <v>79</v>
      </c>
      <c r="B36" s="6" t="s">
        <v>303</v>
      </c>
      <c r="C36" s="7"/>
      <c r="D36" s="7"/>
      <c r="E36" s="7"/>
      <c r="F36" s="7"/>
      <c r="G36" s="7"/>
      <c r="H36" s="7"/>
      <c r="I36" s="7"/>
      <c r="J36" s="7"/>
      <c r="K36" s="7"/>
      <c r="L36" s="7"/>
      <c r="M36" s="7"/>
      <c r="N36" s="7"/>
      <c r="O36" s="7"/>
      <c r="P36" s="7"/>
      <c r="Q36" s="7"/>
      <c r="R36" s="7"/>
      <c r="S36" s="7"/>
      <c r="T36" s="7"/>
      <c r="U36" s="7"/>
      <c r="V36" s="6" t="s">
        <v>327</v>
      </c>
      <c r="W36" s="7">
        <v>47</v>
      </c>
      <c r="X36" s="7" t="s">
        <v>328</v>
      </c>
      <c r="Y36" s="7" t="s">
        <v>329</v>
      </c>
      <c r="Z36" s="7" t="s">
        <v>34</v>
      </c>
      <c r="AA36" s="7" t="s">
        <v>34</v>
      </c>
      <c r="AB36" s="7" t="s">
        <v>330</v>
      </c>
      <c r="AC36" s="7" t="s">
        <v>34</v>
      </c>
      <c r="AD36" s="6" t="s">
        <v>327</v>
      </c>
      <c r="AE36" s="7" t="s">
        <v>325</v>
      </c>
      <c r="AF36" s="7" t="s">
        <v>331</v>
      </c>
      <c r="AG36" s="7" t="s">
        <v>34</v>
      </c>
    </row>
    <row r="37" spans="1:33" ht="15.75" customHeight="1" x14ac:dyDescent="0.15">
      <c r="A37" s="6">
        <v>4316</v>
      </c>
      <c r="B37" s="6" t="s">
        <v>332</v>
      </c>
      <c r="C37" s="6" t="s">
        <v>32</v>
      </c>
      <c r="D37" s="6" t="s">
        <v>33</v>
      </c>
      <c r="E37" s="6" t="s">
        <v>34</v>
      </c>
      <c r="F37" s="6" t="s">
        <v>333</v>
      </c>
      <c r="G37" s="6" t="s">
        <v>334</v>
      </c>
      <c r="H37" s="6" t="s">
        <v>335</v>
      </c>
      <c r="I37" s="6" t="s">
        <v>34</v>
      </c>
      <c r="J37" s="6" t="s">
        <v>336</v>
      </c>
      <c r="K37" s="6" t="s">
        <v>337</v>
      </c>
      <c r="L37" s="6" t="s">
        <v>338</v>
      </c>
      <c r="M37" s="6" t="s">
        <v>55</v>
      </c>
      <c r="N37" s="6" t="s">
        <v>34</v>
      </c>
      <c r="O37" s="6" t="s">
        <v>339</v>
      </c>
      <c r="P37" s="6" t="s">
        <v>340</v>
      </c>
      <c r="Q37" s="6" t="s">
        <v>34</v>
      </c>
      <c r="R37" s="6" t="s">
        <v>34</v>
      </c>
      <c r="S37" s="6" t="s">
        <v>34</v>
      </c>
      <c r="T37" s="6" t="s">
        <v>34</v>
      </c>
      <c r="U37" s="6" t="s">
        <v>341</v>
      </c>
      <c r="V37" s="6" t="s">
        <v>33</v>
      </c>
      <c r="W37" s="6">
        <v>49</v>
      </c>
      <c r="X37" s="6" t="s">
        <v>342</v>
      </c>
      <c r="Y37" s="6" t="s">
        <v>34</v>
      </c>
      <c r="Z37" s="6" t="s">
        <v>34</v>
      </c>
      <c r="AA37" s="6" t="s">
        <v>34</v>
      </c>
      <c r="AB37" s="6" t="s">
        <v>34</v>
      </c>
      <c r="AC37" s="6" t="s">
        <v>343</v>
      </c>
      <c r="AD37" s="6" t="s">
        <v>33</v>
      </c>
      <c r="AE37" s="6" t="s">
        <v>344</v>
      </c>
      <c r="AF37" s="6" t="s">
        <v>55</v>
      </c>
      <c r="AG37" s="6" t="s">
        <v>34</v>
      </c>
    </row>
    <row r="38" spans="1:33" ht="15.75" customHeight="1" x14ac:dyDescent="0.15">
      <c r="A38" s="6">
        <v>4316</v>
      </c>
      <c r="B38" s="6" t="s">
        <v>332</v>
      </c>
      <c r="C38" s="7"/>
      <c r="D38" s="7"/>
      <c r="E38" s="7"/>
      <c r="F38" s="7"/>
      <c r="G38" s="7"/>
      <c r="H38" s="7"/>
      <c r="I38" s="7"/>
      <c r="J38" s="7"/>
      <c r="K38" s="7"/>
      <c r="L38" s="7"/>
      <c r="M38" s="7"/>
      <c r="N38" s="7"/>
      <c r="O38" s="7"/>
      <c r="P38" s="7"/>
      <c r="Q38" s="7"/>
      <c r="R38" s="7"/>
      <c r="S38" s="7"/>
      <c r="T38" s="7"/>
      <c r="U38" s="7"/>
      <c r="V38" s="6" t="s">
        <v>46</v>
      </c>
      <c r="W38" s="6">
        <v>371</v>
      </c>
      <c r="X38" s="6" t="s">
        <v>342</v>
      </c>
      <c r="Y38" s="6" t="s">
        <v>34</v>
      </c>
      <c r="Z38" s="6" t="s">
        <v>34</v>
      </c>
      <c r="AA38" s="6" t="s">
        <v>34</v>
      </c>
      <c r="AB38" s="6" t="s">
        <v>34</v>
      </c>
      <c r="AC38" s="6" t="s">
        <v>345</v>
      </c>
      <c r="AD38" s="6" t="s">
        <v>46</v>
      </c>
      <c r="AE38" s="6" t="s">
        <v>346</v>
      </c>
      <c r="AF38" s="6" t="s">
        <v>55</v>
      </c>
      <c r="AG38" s="6" t="s">
        <v>34</v>
      </c>
    </row>
    <row r="39" spans="1:33" ht="15.75" customHeight="1" x14ac:dyDescent="0.15">
      <c r="A39" s="6">
        <v>1442</v>
      </c>
      <c r="B39" s="6" t="s">
        <v>347</v>
      </c>
      <c r="C39" s="7" t="s">
        <v>32</v>
      </c>
      <c r="D39" s="7" t="s">
        <v>33</v>
      </c>
      <c r="E39" s="6" t="s">
        <v>348</v>
      </c>
      <c r="F39" s="6" t="s">
        <v>349</v>
      </c>
      <c r="G39" s="6" t="s">
        <v>350</v>
      </c>
      <c r="H39" s="6" t="s">
        <v>34</v>
      </c>
      <c r="I39" s="6" t="s">
        <v>351</v>
      </c>
      <c r="J39" s="6" t="s">
        <v>197</v>
      </c>
      <c r="K39" s="6" t="s">
        <v>352</v>
      </c>
      <c r="L39" s="6" t="s">
        <v>353</v>
      </c>
      <c r="M39" s="6" t="s">
        <v>55</v>
      </c>
      <c r="N39" s="6" t="s">
        <v>354</v>
      </c>
      <c r="O39" s="6">
        <v>13758</v>
      </c>
      <c r="P39" s="6" t="s">
        <v>355</v>
      </c>
      <c r="Q39" s="6" t="s">
        <v>356</v>
      </c>
      <c r="R39" s="6" t="s">
        <v>34</v>
      </c>
      <c r="S39" s="6" t="s">
        <v>34</v>
      </c>
      <c r="T39" s="6" t="s">
        <v>34</v>
      </c>
      <c r="U39" s="6" t="s">
        <v>34</v>
      </c>
      <c r="V39" s="6" t="s">
        <v>33</v>
      </c>
      <c r="W39" s="6">
        <v>7886</v>
      </c>
      <c r="X39" s="6" t="s">
        <v>357</v>
      </c>
      <c r="Y39" s="6" t="s">
        <v>358</v>
      </c>
      <c r="Z39" s="6" t="s">
        <v>34</v>
      </c>
      <c r="AA39" s="6" t="s">
        <v>34</v>
      </c>
      <c r="AB39" s="6" t="s">
        <v>34</v>
      </c>
      <c r="AC39" s="6" t="s">
        <v>34</v>
      </c>
      <c r="AD39" s="6" t="s">
        <v>33</v>
      </c>
      <c r="AE39" s="6" t="s">
        <v>359</v>
      </c>
      <c r="AF39" s="6" t="s">
        <v>360</v>
      </c>
      <c r="AG39" s="6" t="s">
        <v>34</v>
      </c>
    </row>
    <row r="40" spans="1:33" ht="15.75" customHeight="1" x14ac:dyDescent="0.15">
      <c r="A40" s="6">
        <v>1442</v>
      </c>
      <c r="B40" s="6" t="s">
        <v>347</v>
      </c>
      <c r="C40" s="7"/>
      <c r="D40" s="7"/>
      <c r="E40" s="7"/>
      <c r="F40" s="7"/>
      <c r="G40" s="7"/>
      <c r="H40" s="7"/>
      <c r="I40" s="7"/>
      <c r="J40" s="7"/>
      <c r="K40" s="7"/>
      <c r="L40" s="7"/>
      <c r="M40" s="7"/>
      <c r="N40" s="7"/>
      <c r="O40" s="7"/>
      <c r="P40" s="7"/>
      <c r="Q40" s="7"/>
      <c r="R40" s="7"/>
      <c r="S40" s="7"/>
      <c r="T40" s="7"/>
      <c r="U40" s="7"/>
      <c r="V40" s="6" t="s">
        <v>46</v>
      </c>
      <c r="W40" s="6">
        <v>4188</v>
      </c>
      <c r="X40" s="6" t="s">
        <v>361</v>
      </c>
      <c r="Y40" s="6" t="s">
        <v>362</v>
      </c>
      <c r="Z40" s="6" t="s">
        <v>34</v>
      </c>
      <c r="AA40" s="6" t="s">
        <v>34</v>
      </c>
      <c r="AB40" s="6" t="s">
        <v>34</v>
      </c>
      <c r="AC40" s="6" t="s">
        <v>34</v>
      </c>
      <c r="AD40" s="6" t="s">
        <v>46</v>
      </c>
      <c r="AE40" s="6" t="s">
        <v>363</v>
      </c>
      <c r="AF40" s="6" t="s">
        <v>364</v>
      </c>
      <c r="AG40" s="6" t="s">
        <v>34</v>
      </c>
    </row>
    <row r="41" spans="1:33" ht="15.75" customHeight="1" x14ac:dyDescent="0.15">
      <c r="A41" s="6">
        <v>6659</v>
      </c>
      <c r="B41" s="6" t="s">
        <v>365</v>
      </c>
      <c r="C41" s="6" t="s">
        <v>32</v>
      </c>
      <c r="D41" s="6" t="s">
        <v>33</v>
      </c>
      <c r="E41" s="6" t="s">
        <v>34</v>
      </c>
      <c r="F41" s="6" t="s">
        <v>366</v>
      </c>
      <c r="G41" s="6" t="s">
        <v>367</v>
      </c>
      <c r="H41" s="6" t="s">
        <v>368</v>
      </c>
      <c r="I41" s="6" t="s">
        <v>34</v>
      </c>
      <c r="J41" s="6" t="s">
        <v>369</v>
      </c>
      <c r="K41" s="6" t="s">
        <v>370</v>
      </c>
      <c r="L41" s="6" t="s">
        <v>371</v>
      </c>
      <c r="M41" s="6" t="s">
        <v>55</v>
      </c>
      <c r="N41" s="6" t="s">
        <v>34</v>
      </c>
      <c r="O41" s="6" t="s">
        <v>372</v>
      </c>
      <c r="P41" s="6" t="s">
        <v>34</v>
      </c>
      <c r="Q41" s="6" t="s">
        <v>34</v>
      </c>
      <c r="R41" s="6" t="s">
        <v>373</v>
      </c>
      <c r="S41" s="6" t="s">
        <v>34</v>
      </c>
      <c r="T41" s="6" t="s">
        <v>374</v>
      </c>
      <c r="U41" s="6" t="s">
        <v>34</v>
      </c>
      <c r="V41" s="6" t="s">
        <v>33</v>
      </c>
      <c r="W41" s="6">
        <v>30</v>
      </c>
      <c r="X41" s="6" t="s">
        <v>34</v>
      </c>
      <c r="Y41" s="6" t="s">
        <v>34</v>
      </c>
      <c r="Z41" s="6" t="s">
        <v>34</v>
      </c>
      <c r="AA41" s="6" t="s">
        <v>34</v>
      </c>
      <c r="AB41" s="6" t="s">
        <v>34</v>
      </c>
      <c r="AC41" s="6" t="s">
        <v>34</v>
      </c>
      <c r="AD41" s="6" t="s">
        <v>33</v>
      </c>
      <c r="AE41" s="6" t="s">
        <v>375</v>
      </c>
      <c r="AF41" s="6" t="s">
        <v>34</v>
      </c>
      <c r="AG41" s="6" t="s">
        <v>34</v>
      </c>
    </row>
    <row r="42" spans="1:33" ht="15.75" customHeight="1" x14ac:dyDescent="0.15">
      <c r="A42" s="6">
        <v>6659</v>
      </c>
      <c r="B42" s="6" t="s">
        <v>365</v>
      </c>
      <c r="C42" s="7"/>
      <c r="D42" s="7"/>
      <c r="E42" s="7"/>
      <c r="F42" s="7"/>
      <c r="G42" s="7"/>
      <c r="H42" s="7"/>
      <c r="I42" s="7"/>
      <c r="J42" s="7"/>
      <c r="K42" s="7"/>
      <c r="L42" s="7"/>
      <c r="M42" s="7"/>
      <c r="N42" s="7"/>
      <c r="O42" s="7"/>
      <c r="P42" s="7"/>
      <c r="Q42" s="7"/>
      <c r="R42" s="7"/>
      <c r="S42" s="7"/>
      <c r="T42" s="7"/>
      <c r="U42" s="7"/>
      <c r="V42" s="7" t="s">
        <v>376</v>
      </c>
      <c r="W42" s="7">
        <v>162</v>
      </c>
      <c r="X42" s="6" t="s">
        <v>34</v>
      </c>
      <c r="Y42" s="6" t="s">
        <v>34</v>
      </c>
      <c r="Z42" s="6" t="s">
        <v>34</v>
      </c>
      <c r="AA42" s="6" t="s">
        <v>34</v>
      </c>
      <c r="AB42" s="6" t="s">
        <v>34</v>
      </c>
      <c r="AC42" s="6" t="s">
        <v>34</v>
      </c>
      <c r="AD42" s="7" t="s">
        <v>376</v>
      </c>
      <c r="AE42" s="7" t="s">
        <v>377</v>
      </c>
      <c r="AF42" s="7" t="s">
        <v>34</v>
      </c>
      <c r="AG42" s="7" t="s">
        <v>34</v>
      </c>
    </row>
    <row r="43" spans="1:33" ht="15.75" customHeight="1" x14ac:dyDescent="0.15">
      <c r="A43" s="7">
        <v>374</v>
      </c>
      <c r="B43" s="6" t="s">
        <v>378</v>
      </c>
      <c r="C43" s="7" t="s">
        <v>32</v>
      </c>
      <c r="D43" s="7" t="s">
        <v>33</v>
      </c>
      <c r="E43" s="7" t="s">
        <v>379</v>
      </c>
      <c r="F43" s="7" t="s">
        <v>380</v>
      </c>
      <c r="G43" s="7" t="s">
        <v>381</v>
      </c>
      <c r="H43" s="7" t="s">
        <v>34</v>
      </c>
      <c r="I43" s="7" t="s">
        <v>382</v>
      </c>
      <c r="J43" s="7" t="s">
        <v>383</v>
      </c>
      <c r="K43" s="7" t="s">
        <v>384</v>
      </c>
      <c r="L43" s="7" t="s">
        <v>385</v>
      </c>
      <c r="M43" s="7" t="s">
        <v>34</v>
      </c>
      <c r="N43" s="7" t="s">
        <v>386</v>
      </c>
      <c r="O43" s="7" t="s">
        <v>387</v>
      </c>
      <c r="P43" s="7" t="s">
        <v>34</v>
      </c>
      <c r="Q43" s="7" t="s">
        <v>388</v>
      </c>
      <c r="R43" s="7" t="s">
        <v>389</v>
      </c>
      <c r="S43" s="7" t="s">
        <v>34</v>
      </c>
      <c r="T43" s="7" t="s">
        <v>390</v>
      </c>
      <c r="U43" s="6" t="s">
        <v>391</v>
      </c>
      <c r="V43" s="7" t="s">
        <v>33</v>
      </c>
      <c r="W43" s="7">
        <v>39077</v>
      </c>
      <c r="X43" s="7" t="s">
        <v>392</v>
      </c>
      <c r="Y43" s="7" t="s">
        <v>393</v>
      </c>
      <c r="Z43" s="7" t="s">
        <v>394</v>
      </c>
      <c r="AA43" s="7" t="s">
        <v>34</v>
      </c>
      <c r="AB43" s="7" t="s">
        <v>395</v>
      </c>
      <c r="AC43" s="7" t="s">
        <v>396</v>
      </c>
      <c r="AD43" s="7" t="s">
        <v>33</v>
      </c>
      <c r="AE43" s="7" t="s">
        <v>397</v>
      </c>
      <c r="AF43" s="6" t="s">
        <v>398</v>
      </c>
      <c r="AG43" s="7" t="s">
        <v>399</v>
      </c>
    </row>
    <row r="44" spans="1:33" ht="15.75" customHeight="1" x14ac:dyDescent="0.15">
      <c r="A44" s="7">
        <v>374</v>
      </c>
      <c r="B44" s="6" t="s">
        <v>378</v>
      </c>
      <c r="C44" s="7"/>
      <c r="D44" s="7"/>
      <c r="E44" s="7"/>
      <c r="F44" s="7"/>
      <c r="G44" s="7"/>
      <c r="H44" s="7"/>
      <c r="I44" s="7"/>
      <c r="J44" s="7"/>
      <c r="K44" s="7"/>
      <c r="L44" s="7"/>
      <c r="M44" s="7"/>
      <c r="N44" s="7"/>
      <c r="O44" s="7"/>
      <c r="P44" s="7"/>
      <c r="Q44" s="7"/>
      <c r="R44" s="7"/>
      <c r="S44" s="7"/>
      <c r="T44" s="7"/>
      <c r="U44" s="7"/>
      <c r="V44" s="7" t="s">
        <v>46</v>
      </c>
      <c r="W44" s="7">
        <v>42916</v>
      </c>
      <c r="X44" s="7" t="s">
        <v>400</v>
      </c>
      <c r="Y44" s="7"/>
      <c r="Z44" s="7" t="s">
        <v>401</v>
      </c>
      <c r="AA44" s="7" t="s">
        <v>34</v>
      </c>
      <c r="AB44" s="7" t="s">
        <v>402</v>
      </c>
      <c r="AC44" s="7" t="s">
        <v>403</v>
      </c>
      <c r="AD44" s="7" t="s">
        <v>46</v>
      </c>
      <c r="AE44" s="7" t="s">
        <v>346</v>
      </c>
      <c r="AF44" s="7" t="s">
        <v>55</v>
      </c>
      <c r="AG44" s="7" t="s">
        <v>404</v>
      </c>
    </row>
    <row r="45" spans="1:33" ht="15.75" customHeight="1" x14ac:dyDescent="0.15">
      <c r="A45" s="7">
        <v>1614</v>
      </c>
      <c r="B45" s="7" t="s">
        <v>405</v>
      </c>
      <c r="C45" s="7" t="s">
        <v>32</v>
      </c>
      <c r="D45" s="7" t="s">
        <v>33</v>
      </c>
      <c r="E45" s="6" t="s">
        <v>34</v>
      </c>
      <c r="F45" s="6" t="s">
        <v>406</v>
      </c>
      <c r="G45" s="6" t="s">
        <v>407</v>
      </c>
      <c r="H45" s="6" t="s">
        <v>408</v>
      </c>
      <c r="I45" s="6" t="s">
        <v>34</v>
      </c>
      <c r="J45" s="6" t="s">
        <v>383</v>
      </c>
      <c r="K45" s="6" t="s">
        <v>409</v>
      </c>
      <c r="L45" s="6" t="s">
        <v>410</v>
      </c>
      <c r="M45" s="6" t="s">
        <v>34</v>
      </c>
      <c r="N45" s="6" t="s">
        <v>411</v>
      </c>
      <c r="O45" s="6" t="s">
        <v>412</v>
      </c>
      <c r="P45" s="6" t="s">
        <v>413</v>
      </c>
      <c r="Q45" s="6" t="s">
        <v>414</v>
      </c>
      <c r="R45" s="6" t="s">
        <v>415</v>
      </c>
      <c r="S45" s="6" t="s">
        <v>34</v>
      </c>
      <c r="T45" s="6" t="s">
        <v>34</v>
      </c>
      <c r="U45" s="6" t="s">
        <v>34</v>
      </c>
      <c r="V45" s="6" t="s">
        <v>33</v>
      </c>
      <c r="W45" s="6">
        <v>312</v>
      </c>
      <c r="X45" s="6" t="s">
        <v>416</v>
      </c>
      <c r="Y45" s="6" t="s">
        <v>417</v>
      </c>
      <c r="Z45" s="6" t="s">
        <v>34</v>
      </c>
      <c r="AA45" s="6" t="s">
        <v>34</v>
      </c>
      <c r="AB45" s="6" t="s">
        <v>34</v>
      </c>
      <c r="AC45" s="6" t="s">
        <v>34</v>
      </c>
      <c r="AD45" s="6" t="s">
        <v>33</v>
      </c>
      <c r="AE45" s="6" t="s">
        <v>418</v>
      </c>
      <c r="AF45" s="6" t="s">
        <v>419</v>
      </c>
      <c r="AG45" s="6" t="s">
        <v>34</v>
      </c>
    </row>
    <row r="46" spans="1:33" ht="15.75" customHeight="1" x14ac:dyDescent="0.15">
      <c r="A46" s="7">
        <v>1614</v>
      </c>
      <c r="B46" s="7" t="s">
        <v>405</v>
      </c>
      <c r="C46" s="7"/>
      <c r="D46" s="7"/>
      <c r="E46" s="7"/>
      <c r="F46" s="7"/>
      <c r="G46" s="7"/>
      <c r="H46" s="7"/>
      <c r="I46" s="7"/>
      <c r="J46" s="7"/>
      <c r="K46" s="7"/>
      <c r="L46" s="7"/>
      <c r="M46" s="7"/>
      <c r="N46" s="7"/>
      <c r="O46" s="7"/>
      <c r="P46" s="7"/>
      <c r="Q46" s="7"/>
      <c r="R46" s="7"/>
      <c r="S46" s="7"/>
      <c r="T46" s="7"/>
      <c r="U46" s="7"/>
      <c r="V46" s="6" t="s">
        <v>46</v>
      </c>
      <c r="W46" s="6">
        <v>314</v>
      </c>
      <c r="X46" s="6" t="s">
        <v>420</v>
      </c>
      <c r="Y46" s="7"/>
      <c r="Z46" s="6" t="s">
        <v>34</v>
      </c>
      <c r="AA46" s="6" t="s">
        <v>34</v>
      </c>
      <c r="AB46" s="6" t="s">
        <v>34</v>
      </c>
      <c r="AC46" s="6" t="s">
        <v>34</v>
      </c>
      <c r="AD46" s="6" t="s">
        <v>46</v>
      </c>
      <c r="AE46" s="6" t="s">
        <v>55</v>
      </c>
      <c r="AF46" s="6" t="s">
        <v>55</v>
      </c>
      <c r="AG46" s="6" t="s">
        <v>34</v>
      </c>
    </row>
    <row r="47" spans="1:33" ht="84" customHeight="1" x14ac:dyDescent="0.15">
      <c r="A47" s="6">
        <v>2479</v>
      </c>
      <c r="B47" s="6" t="s">
        <v>421</v>
      </c>
      <c r="C47" s="7" t="s">
        <v>32</v>
      </c>
      <c r="D47" s="7" t="s">
        <v>33</v>
      </c>
      <c r="E47" s="6" t="s">
        <v>422</v>
      </c>
      <c r="F47" s="6" t="s">
        <v>423</v>
      </c>
      <c r="G47" s="6" t="s">
        <v>424</v>
      </c>
      <c r="H47" s="6" t="s">
        <v>425</v>
      </c>
      <c r="I47" s="6" t="s">
        <v>34</v>
      </c>
      <c r="J47" s="6" t="s">
        <v>426</v>
      </c>
      <c r="K47" s="6" t="s">
        <v>427</v>
      </c>
      <c r="L47" s="6" t="s">
        <v>428</v>
      </c>
      <c r="M47" s="6" t="s">
        <v>429</v>
      </c>
      <c r="N47" s="7" t="s">
        <v>430</v>
      </c>
      <c r="O47" s="6">
        <v>234</v>
      </c>
      <c r="P47" s="6" t="s">
        <v>34</v>
      </c>
      <c r="Q47" s="6" t="s">
        <v>34</v>
      </c>
      <c r="R47" s="6" t="s">
        <v>431</v>
      </c>
      <c r="S47" s="6" t="s">
        <v>34</v>
      </c>
      <c r="T47" s="6" t="s">
        <v>432</v>
      </c>
      <c r="U47" s="6" t="s">
        <v>34</v>
      </c>
      <c r="V47" s="10" t="s">
        <v>433</v>
      </c>
      <c r="W47" s="6">
        <v>112</v>
      </c>
      <c r="X47" s="6" t="s">
        <v>434</v>
      </c>
      <c r="Y47" s="6" t="s">
        <v>435</v>
      </c>
      <c r="Z47" s="6" t="s">
        <v>431</v>
      </c>
      <c r="AA47" s="6" t="s">
        <v>34</v>
      </c>
      <c r="AB47" s="6" t="s">
        <v>436</v>
      </c>
      <c r="AC47" s="6" t="s">
        <v>34</v>
      </c>
      <c r="AD47" s="6" t="s">
        <v>433</v>
      </c>
      <c r="AE47" s="6" t="s">
        <v>437</v>
      </c>
      <c r="AF47" s="6" t="s">
        <v>438</v>
      </c>
      <c r="AG47" s="6" t="s">
        <v>439</v>
      </c>
    </row>
    <row r="48" spans="1:33" ht="84" customHeight="1" x14ac:dyDescent="0.15">
      <c r="A48" s="6">
        <v>2479</v>
      </c>
      <c r="B48" s="6" t="s">
        <v>421</v>
      </c>
      <c r="C48" s="7"/>
      <c r="D48" s="7"/>
      <c r="E48" s="7"/>
      <c r="F48" s="7"/>
      <c r="G48" s="7"/>
      <c r="H48" s="7"/>
      <c r="I48" s="7"/>
      <c r="J48" s="7"/>
      <c r="K48" s="7"/>
      <c r="L48" s="7"/>
      <c r="M48" s="7"/>
      <c r="N48" s="7"/>
      <c r="O48" s="7"/>
      <c r="P48" s="7"/>
      <c r="Q48" s="7"/>
      <c r="R48" s="7"/>
      <c r="S48" s="7"/>
      <c r="T48" s="7"/>
      <c r="U48" s="7"/>
      <c r="V48" s="6" t="s">
        <v>440</v>
      </c>
      <c r="W48" s="6">
        <v>82</v>
      </c>
      <c r="X48" s="6" t="s">
        <v>441</v>
      </c>
      <c r="Y48" s="6" t="s">
        <v>442</v>
      </c>
      <c r="Z48" s="6" t="s">
        <v>431</v>
      </c>
      <c r="AA48" s="6" t="s">
        <v>34</v>
      </c>
      <c r="AB48" s="6" t="s">
        <v>443</v>
      </c>
      <c r="AC48" s="6" t="s">
        <v>34</v>
      </c>
      <c r="AD48" s="6" t="s">
        <v>440</v>
      </c>
      <c r="AE48" s="6" t="s">
        <v>444</v>
      </c>
      <c r="AF48" s="6" t="s">
        <v>438</v>
      </c>
      <c r="AG48" s="6" t="s">
        <v>439</v>
      </c>
    </row>
    <row r="49" spans="1:33" ht="84" customHeight="1" x14ac:dyDescent="0.15">
      <c r="A49" s="6">
        <v>2479</v>
      </c>
      <c r="B49" s="6" t="s">
        <v>421</v>
      </c>
      <c r="C49" s="7"/>
      <c r="D49" s="7"/>
      <c r="E49" s="7"/>
      <c r="F49" s="7"/>
      <c r="G49" s="7"/>
      <c r="H49" s="7"/>
      <c r="I49" s="7"/>
      <c r="J49" s="7"/>
      <c r="K49" s="7"/>
      <c r="L49" s="7"/>
      <c r="M49" s="7"/>
      <c r="N49" s="7"/>
      <c r="O49" s="7"/>
      <c r="P49" s="7"/>
      <c r="Q49" s="7"/>
      <c r="R49" s="7"/>
      <c r="S49" s="7"/>
      <c r="T49" s="7"/>
      <c r="U49" s="7"/>
      <c r="V49" s="6" t="s">
        <v>445</v>
      </c>
      <c r="W49" s="6">
        <v>22</v>
      </c>
      <c r="X49" s="6" t="s">
        <v>446</v>
      </c>
      <c r="Y49" s="6" t="s">
        <v>55</v>
      </c>
      <c r="Z49" s="6" t="s">
        <v>431</v>
      </c>
      <c r="AA49" s="6" t="s">
        <v>34</v>
      </c>
      <c r="AB49" s="6" t="s">
        <v>447</v>
      </c>
      <c r="AC49" s="6" t="s">
        <v>34</v>
      </c>
      <c r="AD49" s="6" t="s">
        <v>445</v>
      </c>
      <c r="AE49" s="6" t="s">
        <v>448</v>
      </c>
      <c r="AF49" s="6" t="s">
        <v>55</v>
      </c>
      <c r="AG49" s="6" t="s">
        <v>439</v>
      </c>
    </row>
    <row r="50" spans="1:33" ht="84" customHeight="1" x14ac:dyDescent="0.15">
      <c r="A50" s="6">
        <v>2479</v>
      </c>
      <c r="B50" s="6" t="s">
        <v>421</v>
      </c>
      <c r="C50" s="7"/>
      <c r="D50" s="7"/>
      <c r="E50" s="7"/>
      <c r="F50" s="7"/>
      <c r="G50" s="7"/>
      <c r="H50" s="7"/>
      <c r="I50" s="7"/>
      <c r="J50" s="7"/>
      <c r="K50" s="7"/>
      <c r="L50" s="7"/>
      <c r="M50" s="7"/>
      <c r="N50" s="7"/>
      <c r="O50" s="7"/>
      <c r="P50" s="7"/>
      <c r="Q50" s="7"/>
      <c r="R50" s="7"/>
      <c r="S50" s="7"/>
      <c r="T50" s="7"/>
      <c r="U50" s="7"/>
      <c r="V50" s="6" t="s">
        <v>449</v>
      </c>
      <c r="W50" s="6">
        <v>18</v>
      </c>
      <c r="X50" s="6" t="s">
        <v>450</v>
      </c>
      <c r="Y50" s="6" t="s">
        <v>55</v>
      </c>
      <c r="Z50" s="6" t="s">
        <v>431</v>
      </c>
      <c r="AA50" s="6" t="s">
        <v>34</v>
      </c>
      <c r="AB50" s="6" t="s">
        <v>451</v>
      </c>
      <c r="AC50" s="6" t="s">
        <v>34</v>
      </c>
      <c r="AD50" s="6" t="s">
        <v>449</v>
      </c>
      <c r="AE50" s="6" t="s">
        <v>452</v>
      </c>
      <c r="AF50" s="6" t="s">
        <v>55</v>
      </c>
      <c r="AG50" s="6" t="s">
        <v>439</v>
      </c>
    </row>
    <row r="51" spans="1:33" ht="55.5" customHeight="1" x14ac:dyDescent="0.15">
      <c r="A51" s="6">
        <v>1205</v>
      </c>
      <c r="B51" s="6" t="s">
        <v>453</v>
      </c>
      <c r="C51" s="7" t="s">
        <v>32</v>
      </c>
      <c r="D51" s="7" t="s">
        <v>33</v>
      </c>
      <c r="E51" s="6" t="s">
        <v>34</v>
      </c>
      <c r="F51" s="6" t="s">
        <v>454</v>
      </c>
      <c r="G51" s="6" t="s">
        <v>455</v>
      </c>
      <c r="H51" s="6" t="s">
        <v>456</v>
      </c>
      <c r="I51" s="6" t="s">
        <v>34</v>
      </c>
      <c r="J51" s="6" t="s">
        <v>457</v>
      </c>
      <c r="K51" s="6" t="s">
        <v>458</v>
      </c>
      <c r="L51" s="6" t="s">
        <v>459</v>
      </c>
      <c r="M51" s="6" t="s">
        <v>55</v>
      </c>
      <c r="N51" s="6" t="s">
        <v>460</v>
      </c>
      <c r="O51" s="6" t="s">
        <v>461</v>
      </c>
      <c r="P51" s="6" t="s">
        <v>34</v>
      </c>
      <c r="Q51" s="6" t="s">
        <v>34</v>
      </c>
      <c r="R51" s="6" t="s">
        <v>34</v>
      </c>
      <c r="S51" s="6" t="s">
        <v>34</v>
      </c>
      <c r="T51" s="6" t="s">
        <v>34</v>
      </c>
      <c r="U51" s="6" t="s">
        <v>34</v>
      </c>
      <c r="V51" s="6" t="s">
        <v>33</v>
      </c>
      <c r="W51" s="6" t="s">
        <v>462</v>
      </c>
      <c r="X51" s="6" t="s">
        <v>463</v>
      </c>
      <c r="Y51" s="6" t="s">
        <v>464</v>
      </c>
      <c r="Z51" s="6" t="s">
        <v>465</v>
      </c>
      <c r="AA51" s="6" t="s">
        <v>34</v>
      </c>
      <c r="AB51" s="6" t="s">
        <v>466</v>
      </c>
      <c r="AC51" s="6" t="s">
        <v>34</v>
      </c>
      <c r="AD51" s="6" t="s">
        <v>33</v>
      </c>
      <c r="AE51" s="6" t="s">
        <v>467</v>
      </c>
      <c r="AF51" s="6" t="s">
        <v>55</v>
      </c>
      <c r="AG51" s="6" t="s">
        <v>34</v>
      </c>
    </row>
    <row r="52" spans="1:33" ht="55.5" customHeight="1" x14ac:dyDescent="0.15">
      <c r="A52" s="6">
        <v>1205</v>
      </c>
      <c r="B52" s="6" t="s">
        <v>453</v>
      </c>
      <c r="C52" s="7"/>
      <c r="D52" s="7"/>
      <c r="E52" s="7"/>
      <c r="F52" s="7"/>
      <c r="G52" s="7"/>
      <c r="H52" s="7"/>
      <c r="I52" s="7"/>
      <c r="J52" s="7"/>
      <c r="K52" s="7"/>
      <c r="L52" s="7"/>
      <c r="M52" s="7"/>
      <c r="N52" s="7"/>
      <c r="O52" s="7"/>
      <c r="P52" s="7"/>
      <c r="Q52" s="7"/>
      <c r="R52" s="7"/>
      <c r="S52" s="7"/>
      <c r="T52" s="7"/>
      <c r="U52" s="7"/>
      <c r="V52" s="6" t="s">
        <v>46</v>
      </c>
      <c r="W52" s="6" t="s">
        <v>468</v>
      </c>
      <c r="X52" s="6" t="s">
        <v>469</v>
      </c>
      <c r="Y52" s="6" t="s">
        <v>55</v>
      </c>
      <c r="Z52" s="6" t="s">
        <v>465</v>
      </c>
      <c r="AA52" s="6" t="s">
        <v>34</v>
      </c>
      <c r="AB52" s="6" t="s">
        <v>470</v>
      </c>
      <c r="AC52" s="6" t="s">
        <v>34</v>
      </c>
      <c r="AD52" s="6" t="s">
        <v>46</v>
      </c>
      <c r="AE52" s="6" t="s">
        <v>467</v>
      </c>
      <c r="AF52" s="6" t="s">
        <v>55</v>
      </c>
      <c r="AG52" s="6" t="s">
        <v>34</v>
      </c>
    </row>
    <row r="53" spans="1:33" ht="111.75" customHeight="1" x14ac:dyDescent="0.15">
      <c r="A53" s="6">
        <v>3777</v>
      </c>
      <c r="B53" s="6" t="s">
        <v>471</v>
      </c>
      <c r="C53" s="7" t="s">
        <v>32</v>
      </c>
      <c r="D53" s="7" t="s">
        <v>33</v>
      </c>
      <c r="E53" s="6" t="s">
        <v>34</v>
      </c>
      <c r="F53" s="6" t="s">
        <v>472</v>
      </c>
      <c r="G53" s="6" t="s">
        <v>473</v>
      </c>
      <c r="H53" s="6" t="s">
        <v>474</v>
      </c>
      <c r="I53" s="6" t="s">
        <v>34</v>
      </c>
      <c r="J53" s="6" t="s">
        <v>68</v>
      </c>
      <c r="K53" s="6" t="s">
        <v>475</v>
      </c>
      <c r="L53" s="6" t="s">
        <v>476</v>
      </c>
      <c r="M53" s="6" t="s">
        <v>34</v>
      </c>
      <c r="N53" s="6" t="s">
        <v>477</v>
      </c>
      <c r="O53" s="6" t="s">
        <v>478</v>
      </c>
      <c r="P53" s="6" t="s">
        <v>34</v>
      </c>
      <c r="Q53" s="6" t="s">
        <v>34</v>
      </c>
      <c r="R53" s="6" t="s">
        <v>34</v>
      </c>
      <c r="S53" s="6" t="s">
        <v>34</v>
      </c>
      <c r="T53" s="6" t="s">
        <v>34</v>
      </c>
      <c r="U53" s="6" t="s">
        <v>34</v>
      </c>
      <c r="V53" s="6" t="s">
        <v>33</v>
      </c>
      <c r="W53" s="6" t="s">
        <v>479</v>
      </c>
      <c r="X53" s="6" t="s">
        <v>34</v>
      </c>
      <c r="Y53" s="6" t="s">
        <v>55</v>
      </c>
      <c r="Z53" s="6" t="s">
        <v>34</v>
      </c>
      <c r="AA53" s="6" t="s">
        <v>34</v>
      </c>
      <c r="AB53" s="6" t="s">
        <v>34</v>
      </c>
      <c r="AC53" s="6" t="s">
        <v>34</v>
      </c>
      <c r="AD53" s="6" t="s">
        <v>33</v>
      </c>
      <c r="AE53" s="6" t="s">
        <v>480</v>
      </c>
      <c r="AF53" s="6" t="s">
        <v>55</v>
      </c>
      <c r="AG53" s="6" t="s">
        <v>34</v>
      </c>
    </row>
    <row r="54" spans="1:33" ht="15.75" customHeight="1" x14ac:dyDescent="0.15">
      <c r="A54" s="6">
        <v>3777</v>
      </c>
      <c r="B54" s="6" t="s">
        <v>471</v>
      </c>
      <c r="C54" s="7"/>
      <c r="D54" s="7"/>
      <c r="E54" s="7"/>
      <c r="F54" s="7"/>
      <c r="G54" s="7"/>
      <c r="H54" s="7"/>
      <c r="I54" s="7"/>
      <c r="J54" s="7"/>
      <c r="K54" s="7"/>
      <c r="L54" s="7"/>
      <c r="M54" s="7"/>
      <c r="N54" s="7"/>
      <c r="O54" s="7"/>
      <c r="P54" s="7"/>
      <c r="Q54" s="7"/>
      <c r="R54" s="7"/>
      <c r="S54" s="7"/>
      <c r="T54" s="7"/>
      <c r="U54" s="7"/>
      <c r="V54" s="6" t="s">
        <v>46</v>
      </c>
      <c r="W54" s="6">
        <f>142+352</f>
        <v>494</v>
      </c>
      <c r="X54" s="6" t="s">
        <v>34</v>
      </c>
      <c r="Y54" s="6" t="s">
        <v>55</v>
      </c>
      <c r="Z54" s="6" t="s">
        <v>34</v>
      </c>
      <c r="AA54" s="6" t="s">
        <v>34</v>
      </c>
      <c r="AB54" s="6" t="s">
        <v>34</v>
      </c>
      <c r="AC54" s="6" t="s">
        <v>34</v>
      </c>
      <c r="AD54" s="6" t="s">
        <v>46</v>
      </c>
      <c r="AE54" s="6" t="s">
        <v>481</v>
      </c>
      <c r="AF54" s="6" t="s">
        <v>55</v>
      </c>
      <c r="AG54" s="6" t="s">
        <v>34</v>
      </c>
    </row>
    <row r="55" spans="1:33" ht="15.75" customHeight="1" x14ac:dyDescent="0.15">
      <c r="A55" s="6">
        <v>3083</v>
      </c>
      <c r="B55" s="6" t="s">
        <v>482</v>
      </c>
      <c r="C55" s="7" t="s">
        <v>32</v>
      </c>
      <c r="D55" s="7" t="s">
        <v>33</v>
      </c>
      <c r="E55" s="6" t="s">
        <v>64</v>
      </c>
      <c r="F55" s="6" t="s">
        <v>483</v>
      </c>
      <c r="G55" s="6" t="s">
        <v>484</v>
      </c>
      <c r="H55" s="6" t="s">
        <v>485</v>
      </c>
      <c r="I55" s="6" t="s">
        <v>34</v>
      </c>
      <c r="J55" s="6" t="s">
        <v>426</v>
      </c>
      <c r="K55" s="7" t="s">
        <v>486</v>
      </c>
      <c r="L55" s="6" t="s">
        <v>487</v>
      </c>
      <c r="M55" s="6" t="s">
        <v>429</v>
      </c>
      <c r="N55" s="7" t="s">
        <v>488</v>
      </c>
      <c r="O55" s="6">
        <v>177</v>
      </c>
      <c r="P55" s="6" t="s">
        <v>34</v>
      </c>
      <c r="Q55" s="6" t="s">
        <v>34</v>
      </c>
      <c r="R55" s="6" t="s">
        <v>489</v>
      </c>
      <c r="S55" s="6" t="s">
        <v>34</v>
      </c>
      <c r="T55" s="6" t="s">
        <v>34</v>
      </c>
      <c r="U55" s="6" t="s">
        <v>34</v>
      </c>
      <c r="V55" s="6" t="s">
        <v>433</v>
      </c>
      <c r="W55" s="6">
        <v>87</v>
      </c>
      <c r="X55" s="6" t="s">
        <v>490</v>
      </c>
      <c r="Y55" s="6" t="s">
        <v>491</v>
      </c>
      <c r="Z55" s="6" t="s">
        <v>489</v>
      </c>
      <c r="AA55" s="6" t="s">
        <v>34</v>
      </c>
      <c r="AB55" s="6" t="s">
        <v>492</v>
      </c>
      <c r="AC55" s="6" t="s">
        <v>34</v>
      </c>
      <c r="AD55" s="6" t="s">
        <v>433</v>
      </c>
      <c r="AE55" s="6" t="s">
        <v>493</v>
      </c>
      <c r="AF55" s="6" t="s">
        <v>494</v>
      </c>
      <c r="AG55" s="6" t="s">
        <v>34</v>
      </c>
    </row>
    <row r="56" spans="1:33" ht="15.75" customHeight="1" x14ac:dyDescent="0.15">
      <c r="A56" s="6">
        <v>3083</v>
      </c>
      <c r="B56" s="6" t="s">
        <v>482</v>
      </c>
      <c r="C56" s="7"/>
      <c r="D56" s="7"/>
      <c r="E56" s="7"/>
      <c r="F56" s="7"/>
      <c r="G56" s="7"/>
      <c r="H56" s="7"/>
      <c r="I56" s="7"/>
      <c r="J56" s="7"/>
      <c r="K56" s="7"/>
      <c r="L56" s="7"/>
      <c r="M56" s="7"/>
      <c r="N56" s="7"/>
      <c r="O56" s="7"/>
      <c r="P56" s="7"/>
      <c r="Q56" s="7"/>
      <c r="R56" s="7"/>
      <c r="S56" s="7"/>
      <c r="T56" s="7"/>
      <c r="U56" s="7"/>
      <c r="V56" s="6" t="s">
        <v>440</v>
      </c>
      <c r="W56" s="6">
        <v>63</v>
      </c>
      <c r="X56" s="6" t="s">
        <v>495</v>
      </c>
      <c r="Y56" s="6" t="s">
        <v>496</v>
      </c>
      <c r="Z56" s="6" t="s">
        <v>489</v>
      </c>
      <c r="AA56" s="6" t="s">
        <v>34</v>
      </c>
      <c r="AB56" s="6" t="s">
        <v>497</v>
      </c>
      <c r="AC56" s="6" t="s">
        <v>34</v>
      </c>
      <c r="AD56" s="6" t="s">
        <v>440</v>
      </c>
      <c r="AE56" s="6" t="s">
        <v>493</v>
      </c>
      <c r="AF56" s="6" t="s">
        <v>494</v>
      </c>
      <c r="AG56" s="6" t="s">
        <v>34</v>
      </c>
    </row>
    <row r="57" spans="1:33" ht="15.75" customHeight="1" x14ac:dyDescent="0.15">
      <c r="A57" s="6">
        <v>3083</v>
      </c>
      <c r="B57" s="6" t="s">
        <v>482</v>
      </c>
      <c r="C57" s="7"/>
      <c r="D57" s="7"/>
      <c r="E57" s="7"/>
      <c r="F57" s="7"/>
      <c r="G57" s="7"/>
      <c r="H57" s="7"/>
      <c r="I57" s="7"/>
      <c r="J57" s="7"/>
      <c r="K57" s="7"/>
      <c r="L57" s="7"/>
      <c r="M57" s="7"/>
      <c r="N57" s="7"/>
      <c r="O57" s="7"/>
      <c r="P57" s="7"/>
      <c r="Q57" s="7"/>
      <c r="R57" s="7"/>
      <c r="S57" s="7"/>
      <c r="T57" s="7"/>
      <c r="U57" s="7"/>
      <c r="V57" s="6" t="s">
        <v>445</v>
      </c>
      <c r="W57" s="6">
        <v>15</v>
      </c>
      <c r="X57" s="6" t="s">
        <v>498</v>
      </c>
      <c r="Y57" s="6" t="s">
        <v>55</v>
      </c>
      <c r="Z57" s="6" t="s">
        <v>489</v>
      </c>
      <c r="AA57" s="6" t="s">
        <v>34</v>
      </c>
      <c r="AB57" s="6" t="s">
        <v>499</v>
      </c>
      <c r="AC57" s="6" t="s">
        <v>34</v>
      </c>
      <c r="AD57" s="6" t="s">
        <v>445</v>
      </c>
      <c r="AE57" s="6" t="s">
        <v>500</v>
      </c>
      <c r="AF57" s="6" t="s">
        <v>55</v>
      </c>
      <c r="AG57" s="6" t="s">
        <v>34</v>
      </c>
    </row>
    <row r="58" spans="1:33" ht="15.75" customHeight="1" x14ac:dyDescent="0.15">
      <c r="A58" s="6">
        <v>3083</v>
      </c>
      <c r="B58" s="6" t="s">
        <v>482</v>
      </c>
      <c r="C58" s="7"/>
      <c r="D58" s="7"/>
      <c r="E58" s="7"/>
      <c r="F58" s="7"/>
      <c r="G58" s="7"/>
      <c r="H58" s="7"/>
      <c r="I58" s="7"/>
      <c r="J58" s="7"/>
      <c r="K58" s="7"/>
      <c r="L58" s="7"/>
      <c r="M58" s="7"/>
      <c r="N58" s="7"/>
      <c r="O58" s="7"/>
      <c r="P58" s="7"/>
      <c r="Q58" s="7"/>
      <c r="R58" s="7"/>
      <c r="S58" s="7"/>
      <c r="T58" s="7"/>
      <c r="U58" s="7"/>
      <c r="V58" s="6" t="s">
        <v>449</v>
      </c>
      <c r="W58" s="6">
        <v>12</v>
      </c>
      <c r="X58" s="6" t="s">
        <v>501</v>
      </c>
      <c r="Y58" s="6" t="s">
        <v>55</v>
      </c>
      <c r="Z58" s="6" t="s">
        <v>489</v>
      </c>
      <c r="AA58" s="6" t="s">
        <v>34</v>
      </c>
      <c r="AB58" s="6" t="s">
        <v>502</v>
      </c>
      <c r="AC58" s="6" t="s">
        <v>34</v>
      </c>
      <c r="AD58" s="6" t="s">
        <v>449</v>
      </c>
      <c r="AE58" s="6" t="s">
        <v>500</v>
      </c>
      <c r="AF58" s="6" t="s">
        <v>55</v>
      </c>
      <c r="AG58" s="6" t="s">
        <v>34</v>
      </c>
    </row>
    <row r="59" spans="1:33" ht="15.75" customHeight="1" x14ac:dyDescent="0.15">
      <c r="A59" s="6">
        <v>4101</v>
      </c>
      <c r="B59" s="6" t="s">
        <v>503</v>
      </c>
      <c r="C59" s="7" t="s">
        <v>32</v>
      </c>
      <c r="D59" s="7" t="s">
        <v>33</v>
      </c>
      <c r="E59" s="6" t="s">
        <v>34</v>
      </c>
      <c r="F59" s="6" t="s">
        <v>504</v>
      </c>
      <c r="G59" s="6" t="s">
        <v>505</v>
      </c>
      <c r="H59" s="6" t="s">
        <v>34</v>
      </c>
      <c r="I59" s="6" t="s">
        <v>34</v>
      </c>
      <c r="J59" s="6" t="s">
        <v>426</v>
      </c>
      <c r="K59" s="6" t="s">
        <v>506</v>
      </c>
      <c r="L59" s="6" t="s">
        <v>34</v>
      </c>
      <c r="M59" s="6" t="s">
        <v>507</v>
      </c>
      <c r="N59" s="6" t="s">
        <v>508</v>
      </c>
      <c r="O59" s="6" t="s">
        <v>509</v>
      </c>
      <c r="P59" s="6" t="s">
        <v>34</v>
      </c>
      <c r="Q59" s="6" t="s">
        <v>34</v>
      </c>
      <c r="R59" s="6" t="s">
        <v>34</v>
      </c>
      <c r="S59" s="6" t="s">
        <v>34</v>
      </c>
      <c r="T59" s="6" t="s">
        <v>34</v>
      </c>
      <c r="U59" s="6" t="s">
        <v>34</v>
      </c>
      <c r="V59" s="6" t="s">
        <v>33</v>
      </c>
      <c r="W59" s="6">
        <v>2375</v>
      </c>
      <c r="X59" s="6" t="s">
        <v>510</v>
      </c>
      <c r="Y59" s="6" t="s">
        <v>34</v>
      </c>
      <c r="Z59" s="6" t="s">
        <v>34</v>
      </c>
      <c r="AA59" s="6" t="s">
        <v>511</v>
      </c>
      <c r="AB59" s="6" t="s">
        <v>34</v>
      </c>
      <c r="AC59" s="6" t="s">
        <v>34</v>
      </c>
      <c r="AD59" s="6" t="s">
        <v>33</v>
      </c>
      <c r="AE59" s="6" t="s">
        <v>512</v>
      </c>
      <c r="AF59" s="6" t="s">
        <v>34</v>
      </c>
      <c r="AG59" s="6" t="s">
        <v>513</v>
      </c>
    </row>
    <row r="60" spans="1:33" ht="15.75" customHeight="1" x14ac:dyDescent="0.15">
      <c r="A60" s="6">
        <v>4101</v>
      </c>
      <c r="B60" s="6" t="s">
        <v>503</v>
      </c>
      <c r="C60" s="7"/>
      <c r="D60" s="7"/>
      <c r="E60" s="7"/>
      <c r="F60" s="7"/>
      <c r="G60" s="7"/>
      <c r="H60" s="7"/>
      <c r="I60" s="7"/>
      <c r="J60" s="7"/>
      <c r="K60" s="7"/>
      <c r="L60" s="7"/>
      <c r="M60" s="7"/>
      <c r="N60" s="7"/>
      <c r="O60" s="7"/>
      <c r="P60" s="7"/>
      <c r="Q60" s="7"/>
      <c r="R60" s="7"/>
      <c r="S60" s="7"/>
      <c r="T60" s="7"/>
      <c r="U60" s="7"/>
      <c r="V60" s="6" t="s">
        <v>46</v>
      </c>
      <c r="W60" s="6">
        <v>923</v>
      </c>
      <c r="X60" s="6" t="s">
        <v>514</v>
      </c>
      <c r="Y60" s="6" t="s">
        <v>34</v>
      </c>
      <c r="Z60" s="6" t="s">
        <v>34</v>
      </c>
      <c r="AA60" s="6" t="s">
        <v>515</v>
      </c>
      <c r="AB60" s="6" t="s">
        <v>34</v>
      </c>
      <c r="AC60" s="6" t="s">
        <v>34</v>
      </c>
      <c r="AD60" s="6" t="s">
        <v>46</v>
      </c>
      <c r="AE60" s="6" t="s">
        <v>516</v>
      </c>
      <c r="AF60" s="6" t="s">
        <v>34</v>
      </c>
      <c r="AG60" s="6" t="s">
        <v>513</v>
      </c>
    </row>
    <row r="61" spans="1:33" ht="41.25" customHeight="1" x14ac:dyDescent="0.15">
      <c r="A61" s="6">
        <v>3810</v>
      </c>
      <c r="B61" s="6" t="s">
        <v>517</v>
      </c>
      <c r="C61" s="7" t="s">
        <v>170</v>
      </c>
      <c r="D61" s="7" t="s">
        <v>33</v>
      </c>
      <c r="E61" s="6" t="s">
        <v>34</v>
      </c>
      <c r="F61" s="6" t="s">
        <v>518</v>
      </c>
      <c r="G61" s="6" t="s">
        <v>519</v>
      </c>
      <c r="H61" s="6" t="s">
        <v>408</v>
      </c>
      <c r="I61" s="6" t="s">
        <v>520</v>
      </c>
      <c r="J61" s="6" t="s">
        <v>521</v>
      </c>
      <c r="K61" s="6" t="s">
        <v>522</v>
      </c>
      <c r="L61" s="6" t="s">
        <v>523</v>
      </c>
      <c r="M61" s="11" t="s">
        <v>524</v>
      </c>
      <c r="N61" s="6" t="s">
        <v>525</v>
      </c>
      <c r="O61" s="6">
        <v>129</v>
      </c>
      <c r="P61" s="6" t="s">
        <v>526</v>
      </c>
      <c r="Q61" s="6" t="s">
        <v>527</v>
      </c>
      <c r="R61" s="6" t="s">
        <v>34</v>
      </c>
      <c r="S61" s="6" t="s">
        <v>34</v>
      </c>
      <c r="T61" s="6" t="s">
        <v>528</v>
      </c>
      <c r="U61" s="6" t="s">
        <v>34</v>
      </c>
      <c r="V61" s="6" t="s">
        <v>33</v>
      </c>
      <c r="W61" s="6">
        <v>69</v>
      </c>
      <c r="X61" s="6" t="s">
        <v>529</v>
      </c>
      <c r="Y61" s="6" t="s">
        <v>530</v>
      </c>
      <c r="Z61" s="6" t="s">
        <v>34</v>
      </c>
      <c r="AA61" s="6" t="s">
        <v>34</v>
      </c>
      <c r="AB61" s="6">
        <f>W61-38</f>
        <v>31</v>
      </c>
      <c r="AC61" s="6" t="s">
        <v>34</v>
      </c>
      <c r="AD61" s="6" t="s">
        <v>33</v>
      </c>
      <c r="AE61" s="6" t="s">
        <v>531</v>
      </c>
      <c r="AF61" s="6" t="s">
        <v>532</v>
      </c>
      <c r="AG61" s="6" t="s">
        <v>34</v>
      </c>
    </row>
    <row r="62" spans="1:33" ht="41.25" customHeight="1" x14ac:dyDescent="0.15">
      <c r="A62" s="6">
        <v>3810</v>
      </c>
      <c r="B62" s="6" t="s">
        <v>517</v>
      </c>
      <c r="C62" s="7"/>
      <c r="D62" s="7"/>
      <c r="E62" s="7"/>
      <c r="F62" s="7"/>
      <c r="G62" s="7"/>
      <c r="H62" s="7"/>
      <c r="I62" s="7"/>
      <c r="J62" s="7"/>
      <c r="K62" s="7"/>
      <c r="L62" s="7"/>
      <c r="M62" s="7"/>
      <c r="N62" s="7"/>
      <c r="O62" s="7"/>
      <c r="P62" s="7"/>
      <c r="Q62" s="7"/>
      <c r="R62" s="7"/>
      <c r="S62" s="7"/>
      <c r="T62" s="7"/>
      <c r="U62" s="7"/>
      <c r="V62" s="6" t="s">
        <v>33</v>
      </c>
      <c r="W62" s="6">
        <v>18</v>
      </c>
      <c r="X62" s="6" t="s">
        <v>533</v>
      </c>
      <c r="Y62" s="6" t="s">
        <v>534</v>
      </c>
      <c r="Z62" s="6" t="s">
        <v>34</v>
      </c>
      <c r="AA62" s="6" t="s">
        <v>34</v>
      </c>
      <c r="AB62" s="6">
        <f>W62-9</f>
        <v>9</v>
      </c>
      <c r="AC62" s="6" t="s">
        <v>34</v>
      </c>
      <c r="AD62" s="6" t="s">
        <v>33</v>
      </c>
      <c r="AE62" s="6" t="s">
        <v>535</v>
      </c>
      <c r="AF62" s="6" t="s">
        <v>532</v>
      </c>
      <c r="AG62" s="6" t="s">
        <v>34</v>
      </c>
    </row>
    <row r="63" spans="1:33" ht="41.25" customHeight="1" x14ac:dyDescent="0.15">
      <c r="A63" s="6">
        <v>3810</v>
      </c>
      <c r="B63" s="6" t="s">
        <v>517</v>
      </c>
      <c r="C63" s="7"/>
      <c r="D63" s="7"/>
      <c r="E63" s="7"/>
      <c r="F63" s="7"/>
      <c r="G63" s="7"/>
      <c r="H63" s="7"/>
      <c r="I63" s="7"/>
      <c r="J63" s="7"/>
      <c r="K63" s="7"/>
      <c r="L63" s="7"/>
      <c r="M63" s="7"/>
      <c r="N63" s="7"/>
      <c r="O63" s="7"/>
      <c r="P63" s="7"/>
      <c r="Q63" s="7"/>
      <c r="R63" s="7"/>
      <c r="S63" s="7"/>
      <c r="T63" s="7"/>
      <c r="U63" s="7"/>
      <c r="V63" s="6" t="s">
        <v>33</v>
      </c>
      <c r="W63" s="6">
        <f>W61+W62</f>
        <v>87</v>
      </c>
      <c r="X63" s="6" t="s">
        <v>34</v>
      </c>
      <c r="Y63" s="6" t="s">
        <v>34</v>
      </c>
      <c r="Z63" s="6" t="s">
        <v>34</v>
      </c>
      <c r="AA63" s="6" t="s">
        <v>34</v>
      </c>
      <c r="AB63" s="6">
        <f>AB61+AB62</f>
        <v>40</v>
      </c>
      <c r="AC63" s="6" t="s">
        <v>34</v>
      </c>
      <c r="AD63" s="6" t="s">
        <v>33</v>
      </c>
      <c r="AE63" s="6" t="s">
        <v>536</v>
      </c>
      <c r="AF63" s="6" t="s">
        <v>532</v>
      </c>
      <c r="AG63" s="6" t="s">
        <v>34</v>
      </c>
    </row>
    <row r="64" spans="1:33" ht="41.25" customHeight="1" x14ac:dyDescent="0.15">
      <c r="A64" s="6">
        <v>3810</v>
      </c>
      <c r="B64" s="6" t="s">
        <v>517</v>
      </c>
      <c r="C64" s="7"/>
      <c r="D64" s="7"/>
      <c r="E64" s="7"/>
      <c r="F64" s="7"/>
      <c r="G64" s="7"/>
      <c r="H64" s="7"/>
      <c r="I64" s="7"/>
      <c r="J64" s="7"/>
      <c r="K64" s="7"/>
      <c r="L64" s="7"/>
      <c r="M64" s="7"/>
      <c r="N64" s="7"/>
      <c r="O64" s="7"/>
      <c r="P64" s="7"/>
      <c r="Q64" s="7"/>
      <c r="R64" s="7"/>
      <c r="S64" s="7"/>
      <c r="T64" s="7"/>
      <c r="U64" s="7"/>
      <c r="V64" s="6" t="s">
        <v>46</v>
      </c>
      <c r="W64" s="6">
        <v>13</v>
      </c>
      <c r="X64" s="6" t="s">
        <v>537</v>
      </c>
      <c r="Y64" s="6" t="s">
        <v>34</v>
      </c>
      <c r="Z64" s="6" t="s">
        <v>34</v>
      </c>
      <c r="AA64" s="6" t="s">
        <v>34</v>
      </c>
      <c r="AB64" s="6">
        <f>W64-7</f>
        <v>6</v>
      </c>
      <c r="AC64" s="6" t="s">
        <v>34</v>
      </c>
      <c r="AD64" s="6" t="s">
        <v>46</v>
      </c>
      <c r="AE64" s="6" t="s">
        <v>538</v>
      </c>
      <c r="AF64" s="6" t="s">
        <v>532</v>
      </c>
      <c r="AG64" s="6" t="s">
        <v>34</v>
      </c>
    </row>
    <row r="65" spans="1:33" ht="15.75" customHeight="1" x14ac:dyDescent="0.15">
      <c r="A65" s="6">
        <v>4126</v>
      </c>
      <c r="B65" s="6" t="s">
        <v>539</v>
      </c>
      <c r="C65" s="7" t="s">
        <v>32</v>
      </c>
      <c r="D65" s="7" t="s">
        <v>33</v>
      </c>
      <c r="E65" s="6" t="s">
        <v>540</v>
      </c>
      <c r="F65" s="6" t="s">
        <v>541</v>
      </c>
      <c r="G65" s="6" t="s">
        <v>542</v>
      </c>
      <c r="H65" s="6" t="s">
        <v>543</v>
      </c>
      <c r="I65" s="6" t="s">
        <v>34</v>
      </c>
      <c r="J65" s="6" t="s">
        <v>159</v>
      </c>
      <c r="K65" s="7" t="s">
        <v>544</v>
      </c>
      <c r="L65" s="6" t="s">
        <v>34</v>
      </c>
      <c r="M65" s="6" t="s">
        <v>55</v>
      </c>
      <c r="N65" s="7" t="s">
        <v>545</v>
      </c>
      <c r="O65" s="6" t="s">
        <v>546</v>
      </c>
      <c r="P65" s="6" t="s">
        <v>547</v>
      </c>
      <c r="Q65" s="6" t="s">
        <v>548</v>
      </c>
      <c r="R65" s="6" t="s">
        <v>34</v>
      </c>
      <c r="S65" s="6" t="s">
        <v>549</v>
      </c>
      <c r="T65" s="6" t="s">
        <v>550</v>
      </c>
      <c r="U65" s="6" t="s">
        <v>551</v>
      </c>
      <c r="V65" s="6" t="s">
        <v>33</v>
      </c>
      <c r="W65" s="6">
        <v>243</v>
      </c>
      <c r="X65" s="6" t="s">
        <v>552</v>
      </c>
      <c r="Y65" s="6" t="s">
        <v>553</v>
      </c>
      <c r="Z65" s="6" t="s">
        <v>34</v>
      </c>
      <c r="AA65" s="6" t="s">
        <v>554</v>
      </c>
      <c r="AB65" s="6" t="s">
        <v>555</v>
      </c>
      <c r="AC65" s="6" t="s">
        <v>556</v>
      </c>
      <c r="AD65" s="6" t="s">
        <v>33</v>
      </c>
      <c r="AE65" s="7" t="s">
        <v>557</v>
      </c>
      <c r="AF65" s="6" t="s">
        <v>55</v>
      </c>
      <c r="AG65" s="6" t="s">
        <v>34</v>
      </c>
    </row>
    <row r="66" spans="1:33" ht="15.75" customHeight="1" x14ac:dyDescent="0.15">
      <c r="A66" s="6">
        <v>4126</v>
      </c>
      <c r="B66" s="6" t="s">
        <v>539</v>
      </c>
      <c r="C66" s="7"/>
      <c r="D66" s="7"/>
      <c r="E66" s="7"/>
      <c r="F66" s="7"/>
      <c r="G66" s="7"/>
      <c r="H66" s="7"/>
      <c r="I66" s="7"/>
      <c r="J66" s="7"/>
      <c r="K66" s="7"/>
      <c r="L66" s="7"/>
      <c r="M66" s="7"/>
      <c r="N66" s="7"/>
      <c r="O66" s="7"/>
      <c r="P66" s="7"/>
      <c r="Q66" s="7"/>
      <c r="R66" s="7"/>
      <c r="S66" s="7"/>
      <c r="T66" s="7"/>
      <c r="U66" s="7"/>
      <c r="V66" s="6" t="s">
        <v>46</v>
      </c>
      <c r="W66" s="6">
        <v>75</v>
      </c>
      <c r="X66" s="6" t="s">
        <v>558</v>
      </c>
      <c r="Y66" s="7"/>
      <c r="Z66" s="6" t="s">
        <v>34</v>
      </c>
      <c r="AA66" s="6" t="s">
        <v>559</v>
      </c>
      <c r="AB66" s="6" t="s">
        <v>560</v>
      </c>
      <c r="AC66" s="6" t="s">
        <v>561</v>
      </c>
      <c r="AD66" s="6" t="s">
        <v>46</v>
      </c>
      <c r="AE66" s="6" t="s">
        <v>301</v>
      </c>
      <c r="AF66" s="6" t="s">
        <v>55</v>
      </c>
      <c r="AG66" s="6" t="s">
        <v>34</v>
      </c>
    </row>
    <row r="67" spans="1:33" ht="15.75" customHeight="1" x14ac:dyDescent="0.15">
      <c r="A67" s="6">
        <v>4167</v>
      </c>
      <c r="B67" s="6" t="s">
        <v>562</v>
      </c>
      <c r="C67" s="7" t="s">
        <v>170</v>
      </c>
      <c r="D67" s="7" t="s">
        <v>33</v>
      </c>
      <c r="E67" s="6" t="s">
        <v>563</v>
      </c>
      <c r="F67" s="6" t="s">
        <v>564</v>
      </c>
      <c r="G67" s="6" t="s">
        <v>565</v>
      </c>
      <c r="H67" s="6" t="s">
        <v>566</v>
      </c>
      <c r="I67" s="6" t="s">
        <v>567</v>
      </c>
      <c r="J67" s="6" t="s">
        <v>568</v>
      </c>
      <c r="K67" s="7" t="s">
        <v>569</v>
      </c>
      <c r="L67" s="6" t="s">
        <v>34</v>
      </c>
      <c r="M67" s="6" t="s">
        <v>570</v>
      </c>
      <c r="N67" s="6" t="s">
        <v>34</v>
      </c>
      <c r="O67" s="6" t="s">
        <v>571</v>
      </c>
      <c r="P67" s="6" t="s">
        <v>34</v>
      </c>
      <c r="Q67" s="6" t="s">
        <v>34</v>
      </c>
      <c r="R67" s="6" t="s">
        <v>572</v>
      </c>
      <c r="S67" s="6" t="s">
        <v>573</v>
      </c>
      <c r="T67" s="6" t="s">
        <v>34</v>
      </c>
      <c r="U67" s="6" t="s">
        <v>34</v>
      </c>
      <c r="V67" s="6" t="s">
        <v>33</v>
      </c>
      <c r="W67" s="6">
        <v>90</v>
      </c>
      <c r="X67" s="6" t="s">
        <v>574</v>
      </c>
      <c r="Y67" s="6" t="s">
        <v>34</v>
      </c>
      <c r="Z67" s="6" t="s">
        <v>572</v>
      </c>
      <c r="AA67" s="6" t="s">
        <v>573</v>
      </c>
      <c r="AB67" s="6" t="s">
        <v>575</v>
      </c>
      <c r="AC67" s="6" t="s">
        <v>34</v>
      </c>
      <c r="AD67" s="6" t="s">
        <v>33</v>
      </c>
      <c r="AE67" s="6" t="s">
        <v>576</v>
      </c>
      <c r="AF67" s="6" t="s">
        <v>577</v>
      </c>
      <c r="AG67" s="6" t="s">
        <v>34</v>
      </c>
    </row>
    <row r="68" spans="1:33" ht="15.75" customHeight="1" x14ac:dyDescent="0.15">
      <c r="A68" s="6">
        <v>4167</v>
      </c>
      <c r="B68" s="6" t="s">
        <v>562</v>
      </c>
      <c r="C68" s="7"/>
      <c r="D68" s="7"/>
      <c r="E68" s="7"/>
      <c r="F68" s="7"/>
      <c r="G68" s="7"/>
      <c r="H68" s="7"/>
      <c r="I68" s="7"/>
      <c r="J68" s="7"/>
      <c r="K68" s="7"/>
      <c r="L68" s="7"/>
      <c r="M68" s="7"/>
      <c r="N68" s="7"/>
      <c r="O68" s="7"/>
      <c r="P68" s="7"/>
      <c r="Q68" s="7"/>
      <c r="R68" s="7"/>
      <c r="S68" s="7"/>
      <c r="T68" s="7"/>
      <c r="U68" s="7"/>
      <c r="V68" s="6" t="s">
        <v>46</v>
      </c>
      <c r="W68" s="6">
        <v>81</v>
      </c>
      <c r="X68" s="6" t="s">
        <v>578</v>
      </c>
      <c r="Y68" s="6" t="s">
        <v>34</v>
      </c>
      <c r="Z68" s="6" t="s">
        <v>572</v>
      </c>
      <c r="AA68" s="6" t="s">
        <v>573</v>
      </c>
      <c r="AB68" s="6" t="s">
        <v>579</v>
      </c>
      <c r="AC68" s="6" t="s">
        <v>34</v>
      </c>
      <c r="AD68" s="6" t="s">
        <v>46</v>
      </c>
      <c r="AE68" s="6" t="s">
        <v>580</v>
      </c>
      <c r="AF68" s="6" t="s">
        <v>577</v>
      </c>
      <c r="AG68" s="6" t="s">
        <v>34</v>
      </c>
    </row>
    <row r="69" spans="1:33" ht="42" customHeight="1" x14ac:dyDescent="0.15">
      <c r="A69" s="6">
        <v>2045</v>
      </c>
      <c r="B69" s="12" t="s">
        <v>581</v>
      </c>
      <c r="C69" s="7" t="s">
        <v>32</v>
      </c>
      <c r="D69" s="7" t="s">
        <v>33</v>
      </c>
      <c r="E69" s="6" t="s">
        <v>582</v>
      </c>
      <c r="F69" s="6" t="s">
        <v>583</v>
      </c>
      <c r="G69" s="6" t="s">
        <v>584</v>
      </c>
      <c r="H69" s="6" t="s">
        <v>585</v>
      </c>
      <c r="I69" s="6" t="s">
        <v>586</v>
      </c>
      <c r="J69" s="6" t="s">
        <v>587</v>
      </c>
      <c r="K69" s="6" t="s">
        <v>588</v>
      </c>
      <c r="L69" s="6" t="s">
        <v>589</v>
      </c>
      <c r="M69" s="11" t="s">
        <v>590</v>
      </c>
      <c r="N69" s="6" t="s">
        <v>591</v>
      </c>
      <c r="O69" s="6" t="s">
        <v>592</v>
      </c>
      <c r="P69" s="6" t="s">
        <v>34</v>
      </c>
      <c r="Q69" s="6" t="s">
        <v>34</v>
      </c>
      <c r="R69" s="6" t="s">
        <v>34</v>
      </c>
      <c r="S69" s="6" t="s">
        <v>34</v>
      </c>
      <c r="T69" s="6" t="s">
        <v>34</v>
      </c>
      <c r="U69" s="6" t="s">
        <v>34</v>
      </c>
      <c r="V69" s="6" t="s">
        <v>593</v>
      </c>
      <c r="W69" s="6">
        <v>50816</v>
      </c>
      <c r="X69" s="6" t="s">
        <v>594</v>
      </c>
      <c r="Y69" s="6" t="s">
        <v>595</v>
      </c>
      <c r="Z69" s="6" t="s">
        <v>596</v>
      </c>
      <c r="AA69" s="6" t="s">
        <v>597</v>
      </c>
      <c r="AB69" s="6" t="s">
        <v>598</v>
      </c>
      <c r="AC69" s="6" t="s">
        <v>599</v>
      </c>
      <c r="AD69" s="6" t="s">
        <v>593</v>
      </c>
      <c r="AE69" s="6" t="s">
        <v>600</v>
      </c>
      <c r="AF69" s="6" t="s">
        <v>601</v>
      </c>
      <c r="AG69" s="6" t="s">
        <v>602</v>
      </c>
    </row>
    <row r="70" spans="1:33" ht="42" customHeight="1" x14ac:dyDescent="0.15">
      <c r="A70" s="6">
        <v>2045</v>
      </c>
      <c r="B70" s="12" t="s">
        <v>581</v>
      </c>
      <c r="C70" s="7"/>
      <c r="D70" s="7"/>
      <c r="E70" s="7"/>
      <c r="F70" s="7"/>
      <c r="G70" s="7"/>
      <c r="H70" s="7"/>
      <c r="I70" s="7"/>
      <c r="J70" s="7"/>
      <c r="K70" s="7"/>
      <c r="L70" s="7"/>
      <c r="M70" s="7"/>
      <c r="N70" s="7"/>
      <c r="O70" s="7"/>
      <c r="P70" s="7"/>
      <c r="Q70" s="7"/>
      <c r="R70" s="7"/>
      <c r="S70" s="7"/>
      <c r="T70" s="7"/>
      <c r="U70" s="7"/>
      <c r="V70" s="6" t="s">
        <v>603</v>
      </c>
      <c r="W70" s="6">
        <v>50886</v>
      </c>
      <c r="X70" s="6" t="s">
        <v>604</v>
      </c>
      <c r="Y70" s="6" t="s">
        <v>55</v>
      </c>
      <c r="Z70" s="6" t="s">
        <v>605</v>
      </c>
      <c r="AA70" s="6" t="s">
        <v>597</v>
      </c>
      <c r="AB70" s="6" t="s">
        <v>606</v>
      </c>
      <c r="AC70" s="6" t="s">
        <v>599</v>
      </c>
      <c r="AD70" s="6" t="s">
        <v>603</v>
      </c>
      <c r="AE70" s="6" t="s">
        <v>607</v>
      </c>
      <c r="AF70" s="6" t="s">
        <v>55</v>
      </c>
      <c r="AG70" s="6" t="s">
        <v>608</v>
      </c>
    </row>
    <row r="71" spans="1:33" ht="42" customHeight="1" x14ac:dyDescent="0.15">
      <c r="A71" s="6">
        <v>2045</v>
      </c>
      <c r="B71" s="12" t="s">
        <v>581</v>
      </c>
      <c r="C71" s="7"/>
      <c r="D71" s="7"/>
      <c r="E71" s="7"/>
      <c r="F71" s="7"/>
      <c r="G71" s="7"/>
      <c r="H71" s="7"/>
      <c r="I71" s="7"/>
      <c r="J71" s="7"/>
      <c r="K71" s="7"/>
      <c r="L71" s="7"/>
      <c r="M71" s="7"/>
      <c r="N71" s="7"/>
      <c r="O71" s="7"/>
      <c r="P71" s="7"/>
      <c r="Q71" s="7"/>
      <c r="R71" s="7"/>
      <c r="S71" s="7"/>
      <c r="T71" s="7"/>
      <c r="U71" s="7"/>
      <c r="V71" s="6" t="s">
        <v>609</v>
      </c>
      <c r="W71" s="6">
        <v>108350</v>
      </c>
      <c r="X71" s="6" t="s">
        <v>34</v>
      </c>
      <c r="Y71" s="6" t="s">
        <v>34</v>
      </c>
      <c r="Z71" s="6" t="s">
        <v>34</v>
      </c>
      <c r="AA71" s="6" t="s">
        <v>34</v>
      </c>
      <c r="AB71" s="6" t="s">
        <v>34</v>
      </c>
      <c r="AC71" s="6" t="s">
        <v>34</v>
      </c>
      <c r="AD71" s="6" t="s">
        <v>609</v>
      </c>
      <c r="AE71" s="6" t="s">
        <v>610</v>
      </c>
      <c r="AF71" s="6" t="s">
        <v>611</v>
      </c>
      <c r="AG71" s="6" t="s">
        <v>34</v>
      </c>
    </row>
    <row r="72" spans="1:33" ht="42" customHeight="1" x14ac:dyDescent="0.15">
      <c r="A72" s="6">
        <v>2045</v>
      </c>
      <c r="B72" s="12" t="s">
        <v>581</v>
      </c>
      <c r="C72" s="7"/>
      <c r="D72" s="7"/>
      <c r="E72" s="7"/>
      <c r="F72" s="7"/>
      <c r="G72" s="7"/>
      <c r="H72" s="7"/>
      <c r="I72" s="7"/>
      <c r="J72" s="7"/>
      <c r="K72" s="7"/>
      <c r="L72" s="7"/>
      <c r="M72" s="7"/>
      <c r="N72" s="7"/>
      <c r="O72" s="7"/>
      <c r="P72" s="7"/>
      <c r="Q72" s="7"/>
      <c r="R72" s="7"/>
      <c r="S72" s="7"/>
      <c r="T72" s="7"/>
      <c r="U72" s="7"/>
      <c r="V72" s="6" t="s">
        <v>612</v>
      </c>
      <c r="W72" s="6">
        <v>107624</v>
      </c>
      <c r="X72" s="6" t="s">
        <v>34</v>
      </c>
      <c r="Y72" s="6" t="s">
        <v>55</v>
      </c>
      <c r="Z72" s="6" t="s">
        <v>34</v>
      </c>
      <c r="AA72" s="6" t="s">
        <v>34</v>
      </c>
      <c r="AB72" s="6" t="s">
        <v>34</v>
      </c>
      <c r="AC72" s="6" t="s">
        <v>34</v>
      </c>
      <c r="AD72" s="6" t="s">
        <v>612</v>
      </c>
      <c r="AE72" s="6" t="s">
        <v>613</v>
      </c>
      <c r="AF72" s="6" t="s">
        <v>55</v>
      </c>
      <c r="AG72" s="6" t="s">
        <v>34</v>
      </c>
    </row>
    <row r="73" spans="1:33" ht="15.75" customHeight="1" x14ac:dyDescent="0.15">
      <c r="A73" s="6">
        <v>3201</v>
      </c>
      <c r="B73" s="6" t="s">
        <v>614</v>
      </c>
      <c r="C73" s="7" t="s">
        <v>170</v>
      </c>
      <c r="D73" s="7" t="s">
        <v>33</v>
      </c>
      <c r="E73" s="6" t="s">
        <v>615</v>
      </c>
      <c r="F73" s="6" t="s">
        <v>616</v>
      </c>
      <c r="G73" s="6" t="s">
        <v>617</v>
      </c>
      <c r="H73" s="6" t="s">
        <v>618</v>
      </c>
      <c r="I73" s="6" t="s">
        <v>619</v>
      </c>
      <c r="J73" s="6" t="s">
        <v>620</v>
      </c>
      <c r="K73" s="7" t="s">
        <v>621</v>
      </c>
      <c r="L73" s="6" t="s">
        <v>622</v>
      </c>
      <c r="M73" s="6" t="s">
        <v>623</v>
      </c>
      <c r="N73" s="6" t="s">
        <v>624</v>
      </c>
      <c r="O73" s="6">
        <v>687</v>
      </c>
      <c r="P73" s="6" t="s">
        <v>34</v>
      </c>
      <c r="Q73" s="6" t="s">
        <v>34</v>
      </c>
      <c r="R73" s="6" t="s">
        <v>625</v>
      </c>
      <c r="S73" s="6" t="s">
        <v>34</v>
      </c>
      <c r="T73" s="6" t="s">
        <v>34</v>
      </c>
      <c r="U73" s="6" t="s">
        <v>34</v>
      </c>
      <c r="V73" s="6" t="s">
        <v>33</v>
      </c>
      <c r="W73" s="6">
        <v>341</v>
      </c>
      <c r="X73" s="6" t="s">
        <v>626</v>
      </c>
      <c r="Y73" s="6" t="s">
        <v>627</v>
      </c>
      <c r="Z73" s="6" t="s">
        <v>625</v>
      </c>
      <c r="AA73" s="6" t="s">
        <v>34</v>
      </c>
      <c r="AB73" s="6" t="s">
        <v>34</v>
      </c>
      <c r="AC73" s="6" t="s">
        <v>34</v>
      </c>
      <c r="AD73" s="6" t="s">
        <v>33</v>
      </c>
      <c r="AE73" s="6" t="s">
        <v>628</v>
      </c>
      <c r="AF73" s="6" t="s">
        <v>629</v>
      </c>
      <c r="AG73" s="64" t="s">
        <v>630</v>
      </c>
    </row>
    <row r="74" spans="1:33" ht="15.75" customHeight="1" x14ac:dyDescent="0.15">
      <c r="A74" s="6">
        <v>3201</v>
      </c>
      <c r="B74" s="6" t="s">
        <v>614</v>
      </c>
      <c r="C74" s="7"/>
      <c r="D74" s="7"/>
      <c r="E74" s="7"/>
      <c r="F74" s="7"/>
      <c r="G74" s="7"/>
      <c r="H74" s="7"/>
      <c r="I74" s="7"/>
      <c r="J74" s="7"/>
      <c r="K74" s="7"/>
      <c r="L74" s="7"/>
      <c r="M74" s="7"/>
      <c r="N74" s="7"/>
      <c r="O74" s="7"/>
      <c r="P74" s="7"/>
      <c r="Q74" s="7"/>
      <c r="R74" s="7"/>
      <c r="S74" s="7"/>
      <c r="T74" s="7"/>
      <c r="U74" s="7"/>
      <c r="V74" s="6" t="s">
        <v>46</v>
      </c>
      <c r="W74" s="6">
        <v>346</v>
      </c>
      <c r="X74" s="6" t="s">
        <v>631</v>
      </c>
      <c r="Y74" s="6" t="s">
        <v>632</v>
      </c>
      <c r="Z74" s="6" t="s">
        <v>625</v>
      </c>
      <c r="AA74" s="6" t="s">
        <v>34</v>
      </c>
      <c r="AB74" s="6" t="s">
        <v>34</v>
      </c>
      <c r="AC74" s="6" t="s">
        <v>34</v>
      </c>
      <c r="AD74" s="6" t="s">
        <v>46</v>
      </c>
      <c r="AE74" s="6" t="s">
        <v>633</v>
      </c>
      <c r="AF74" s="6" t="s">
        <v>55</v>
      </c>
      <c r="AG74" s="65"/>
    </row>
    <row r="75" spans="1:33" ht="102.75" customHeight="1" x14ac:dyDescent="0.15">
      <c r="A75" s="6">
        <v>375</v>
      </c>
      <c r="B75" s="6" t="s">
        <v>634</v>
      </c>
      <c r="C75" s="7" t="s">
        <v>32</v>
      </c>
      <c r="D75" s="7" t="s">
        <v>33</v>
      </c>
      <c r="E75" s="7" t="s">
        <v>635</v>
      </c>
      <c r="F75" s="6" t="s">
        <v>380</v>
      </c>
      <c r="G75" s="6" t="s">
        <v>636</v>
      </c>
      <c r="H75" s="6" t="s">
        <v>34</v>
      </c>
      <c r="I75" s="6" t="s">
        <v>637</v>
      </c>
      <c r="J75" s="7" t="s">
        <v>383</v>
      </c>
      <c r="K75" s="7" t="s">
        <v>638</v>
      </c>
      <c r="L75" s="7" t="s">
        <v>639</v>
      </c>
      <c r="M75" s="7" t="s">
        <v>34</v>
      </c>
      <c r="N75" s="6" t="s">
        <v>640</v>
      </c>
      <c r="O75" s="6" t="s">
        <v>641</v>
      </c>
      <c r="P75" s="6" t="s">
        <v>642</v>
      </c>
      <c r="Q75" s="6" t="s">
        <v>643</v>
      </c>
      <c r="R75" s="6" t="s">
        <v>644</v>
      </c>
      <c r="S75" s="6" t="s">
        <v>645</v>
      </c>
      <c r="T75" s="6" t="s">
        <v>646</v>
      </c>
      <c r="U75" s="6" t="s">
        <v>647</v>
      </c>
      <c r="V75" s="6" t="s">
        <v>33</v>
      </c>
      <c r="W75" s="6">
        <v>41781</v>
      </c>
      <c r="X75" s="6" t="s">
        <v>34</v>
      </c>
      <c r="Y75" s="6" t="s">
        <v>648</v>
      </c>
      <c r="Z75" s="6" t="s">
        <v>649</v>
      </c>
      <c r="AA75" s="6" t="s">
        <v>650</v>
      </c>
      <c r="AB75" s="6" t="s">
        <v>651</v>
      </c>
      <c r="AC75" s="6" t="s">
        <v>652</v>
      </c>
      <c r="AD75" s="6" t="s">
        <v>33</v>
      </c>
      <c r="AE75" s="6" t="s">
        <v>397</v>
      </c>
      <c r="AF75" s="6" t="s">
        <v>55</v>
      </c>
      <c r="AG75" s="6" t="s">
        <v>653</v>
      </c>
    </row>
    <row r="76" spans="1:33" ht="15.75" customHeight="1" x14ac:dyDescent="0.15">
      <c r="A76" s="6">
        <v>375</v>
      </c>
      <c r="B76" s="6" t="s">
        <v>634</v>
      </c>
      <c r="C76" s="7"/>
      <c r="D76" s="7"/>
      <c r="E76" s="7"/>
      <c r="F76" s="7"/>
      <c r="G76" s="7"/>
      <c r="H76" s="7"/>
      <c r="I76" s="7"/>
      <c r="J76" s="7"/>
      <c r="K76" s="7"/>
      <c r="L76" s="7"/>
      <c r="M76" s="7"/>
      <c r="N76" s="7"/>
      <c r="O76" s="7"/>
      <c r="P76" s="7"/>
      <c r="Q76" s="7"/>
      <c r="R76" s="7"/>
      <c r="S76" s="7"/>
      <c r="T76" s="7"/>
      <c r="U76" s="7"/>
      <c r="V76" s="6" t="s">
        <v>46</v>
      </c>
      <c r="W76" s="6">
        <v>43826</v>
      </c>
      <c r="X76" s="6" t="s">
        <v>34</v>
      </c>
      <c r="Y76" s="9" t="s">
        <v>55</v>
      </c>
      <c r="Z76" s="6" t="s">
        <v>654</v>
      </c>
      <c r="AA76" s="6" t="s">
        <v>655</v>
      </c>
      <c r="AB76" s="6" t="s">
        <v>656</v>
      </c>
      <c r="AC76" s="6" t="s">
        <v>657</v>
      </c>
      <c r="AD76" s="6" t="s">
        <v>46</v>
      </c>
      <c r="AE76" s="6" t="s">
        <v>346</v>
      </c>
      <c r="AF76" s="6" t="s">
        <v>55</v>
      </c>
      <c r="AG76" s="6" t="s">
        <v>658</v>
      </c>
    </row>
    <row r="77" spans="1:33" ht="99.75" customHeight="1" x14ac:dyDescent="0.15">
      <c r="A77" s="6">
        <v>3469</v>
      </c>
      <c r="B77" s="6" t="s">
        <v>659</v>
      </c>
      <c r="C77" s="6" t="s">
        <v>32</v>
      </c>
      <c r="D77" s="6" t="s">
        <v>33</v>
      </c>
      <c r="E77" s="6" t="s">
        <v>34</v>
      </c>
      <c r="F77" s="6" t="s">
        <v>660</v>
      </c>
      <c r="G77" s="6" t="s">
        <v>661</v>
      </c>
      <c r="H77" s="6" t="s">
        <v>662</v>
      </c>
      <c r="I77" s="6" t="s">
        <v>34</v>
      </c>
      <c r="J77" s="6" t="s">
        <v>663</v>
      </c>
      <c r="K77" s="6" t="s">
        <v>664</v>
      </c>
      <c r="L77" s="7" t="s">
        <v>665</v>
      </c>
      <c r="M77" s="6" t="s">
        <v>34</v>
      </c>
      <c r="N77" s="6" t="s">
        <v>666</v>
      </c>
      <c r="O77" s="6" t="s">
        <v>667</v>
      </c>
      <c r="P77" s="6" t="s">
        <v>668</v>
      </c>
      <c r="Q77" s="6" t="s">
        <v>669</v>
      </c>
      <c r="R77" s="6" t="s">
        <v>670</v>
      </c>
      <c r="S77" s="6" t="s">
        <v>671</v>
      </c>
      <c r="T77" s="6" t="s">
        <v>34</v>
      </c>
      <c r="U77" s="6" t="s">
        <v>34</v>
      </c>
      <c r="V77" s="6" t="s">
        <v>33</v>
      </c>
      <c r="W77" s="6">
        <v>269</v>
      </c>
      <c r="X77" s="6" t="s">
        <v>34</v>
      </c>
      <c r="Y77" s="6" t="s">
        <v>672</v>
      </c>
      <c r="Z77" s="6" t="s">
        <v>34</v>
      </c>
      <c r="AA77" s="6" t="s">
        <v>34</v>
      </c>
      <c r="AB77" s="6" t="s">
        <v>34</v>
      </c>
      <c r="AC77" s="6" t="s">
        <v>34</v>
      </c>
      <c r="AD77" s="6" t="s">
        <v>33</v>
      </c>
      <c r="AE77" s="6" t="s">
        <v>673</v>
      </c>
      <c r="AF77" s="6" t="s">
        <v>674</v>
      </c>
      <c r="AG77" s="6" t="s">
        <v>34</v>
      </c>
    </row>
    <row r="78" spans="1:33" ht="15.75" customHeight="1" x14ac:dyDescent="0.15">
      <c r="A78" s="6">
        <v>3469</v>
      </c>
      <c r="B78" s="6" t="s">
        <v>659</v>
      </c>
      <c r="C78" s="7"/>
      <c r="D78" s="7"/>
      <c r="E78" s="7"/>
      <c r="F78" s="7"/>
      <c r="G78" s="7"/>
      <c r="H78" s="7"/>
      <c r="I78" s="7"/>
      <c r="J78" s="7"/>
      <c r="K78" s="7"/>
      <c r="L78" s="7"/>
      <c r="M78" s="7"/>
      <c r="N78" s="7"/>
      <c r="O78" s="7"/>
      <c r="P78" s="7"/>
      <c r="Q78" s="7"/>
      <c r="R78" s="7"/>
      <c r="S78" s="7"/>
      <c r="T78" s="7"/>
      <c r="U78" s="7"/>
      <c r="V78" s="6" t="s">
        <v>46</v>
      </c>
      <c r="W78" s="6">
        <v>102</v>
      </c>
      <c r="X78" s="6" t="s">
        <v>34</v>
      </c>
      <c r="Y78" s="9" t="s">
        <v>55</v>
      </c>
      <c r="Z78" s="6" t="s">
        <v>34</v>
      </c>
      <c r="AA78" s="6" t="s">
        <v>34</v>
      </c>
      <c r="AB78" s="6" t="s">
        <v>34</v>
      </c>
      <c r="AC78" s="6" t="s">
        <v>34</v>
      </c>
      <c r="AD78" s="6" t="s">
        <v>46</v>
      </c>
      <c r="AE78" s="6" t="s">
        <v>34</v>
      </c>
      <c r="AF78" s="6" t="s">
        <v>55</v>
      </c>
      <c r="AG78" s="6" t="s">
        <v>34</v>
      </c>
    </row>
    <row r="79" spans="1:33" ht="102" customHeight="1" x14ac:dyDescent="0.15">
      <c r="A79" s="6">
        <v>3561</v>
      </c>
      <c r="B79" s="6" t="s">
        <v>675</v>
      </c>
      <c r="C79" s="6" t="s">
        <v>32</v>
      </c>
      <c r="D79" s="6" t="s">
        <v>33</v>
      </c>
      <c r="E79" s="6" t="s">
        <v>64</v>
      </c>
      <c r="F79" s="6" t="s">
        <v>676</v>
      </c>
      <c r="G79" s="6" t="s">
        <v>677</v>
      </c>
      <c r="H79" s="6" t="s">
        <v>678</v>
      </c>
      <c r="I79" s="6" t="s">
        <v>679</v>
      </c>
      <c r="J79" s="6" t="s">
        <v>159</v>
      </c>
      <c r="K79" s="6" t="s">
        <v>680</v>
      </c>
      <c r="L79" s="6" t="s">
        <v>681</v>
      </c>
      <c r="M79" s="6" t="s">
        <v>682</v>
      </c>
      <c r="N79" s="6" t="s">
        <v>683</v>
      </c>
      <c r="O79" s="6" t="s">
        <v>684</v>
      </c>
      <c r="P79" s="6" t="s">
        <v>685</v>
      </c>
      <c r="Q79" s="6" t="s">
        <v>34</v>
      </c>
      <c r="R79" s="6" t="s">
        <v>34</v>
      </c>
      <c r="S79" s="6" t="s">
        <v>34</v>
      </c>
      <c r="T79" s="6" t="s">
        <v>34</v>
      </c>
      <c r="U79" s="6" t="s">
        <v>34</v>
      </c>
      <c r="V79" s="6" t="s">
        <v>33</v>
      </c>
      <c r="W79" s="6">
        <v>1199</v>
      </c>
      <c r="X79" s="6" t="s">
        <v>686</v>
      </c>
      <c r="Y79" s="6" t="s">
        <v>34</v>
      </c>
      <c r="Z79" s="6" t="s">
        <v>34</v>
      </c>
      <c r="AA79" s="6" t="s">
        <v>34</v>
      </c>
      <c r="AB79" s="6" t="s">
        <v>34</v>
      </c>
      <c r="AC79" s="6" t="s">
        <v>34</v>
      </c>
      <c r="AD79" s="6" t="s">
        <v>33</v>
      </c>
      <c r="AE79" s="6" t="s">
        <v>687</v>
      </c>
      <c r="AF79" s="6" t="s">
        <v>688</v>
      </c>
      <c r="AG79" s="6" t="s">
        <v>34</v>
      </c>
    </row>
    <row r="80" spans="1:33" ht="15.75" customHeight="1" x14ac:dyDescent="0.15">
      <c r="A80" s="6">
        <v>3561</v>
      </c>
      <c r="B80" s="6" t="s">
        <v>675</v>
      </c>
      <c r="C80" s="7"/>
      <c r="D80" s="7"/>
      <c r="E80" s="7"/>
      <c r="F80" s="7"/>
      <c r="G80" s="7"/>
      <c r="H80" s="7"/>
      <c r="I80" s="7"/>
      <c r="J80" s="7"/>
      <c r="K80" s="7"/>
      <c r="L80" s="7"/>
      <c r="M80" s="7"/>
      <c r="N80" s="7"/>
      <c r="O80" s="7"/>
      <c r="P80" s="7"/>
      <c r="Q80" s="7"/>
      <c r="R80" s="7"/>
      <c r="S80" s="7"/>
      <c r="T80" s="7"/>
      <c r="U80" s="7"/>
      <c r="V80" s="6" t="s">
        <v>46</v>
      </c>
      <c r="W80" s="6">
        <v>1248</v>
      </c>
      <c r="X80" s="6" t="s">
        <v>689</v>
      </c>
      <c r="Y80" s="6" t="s">
        <v>34</v>
      </c>
      <c r="Z80" s="6" t="s">
        <v>34</v>
      </c>
      <c r="AA80" s="6" t="s">
        <v>34</v>
      </c>
      <c r="AB80" s="6" t="s">
        <v>34</v>
      </c>
      <c r="AC80" s="6" t="s">
        <v>34</v>
      </c>
      <c r="AD80" s="6" t="s">
        <v>46</v>
      </c>
      <c r="AE80" s="6" t="s">
        <v>55</v>
      </c>
      <c r="AF80" s="6" t="s">
        <v>55</v>
      </c>
      <c r="AG80" s="6" t="s">
        <v>34</v>
      </c>
    </row>
    <row r="81" spans="1:33" ht="15.75" customHeight="1" x14ac:dyDescent="0.15">
      <c r="A81" s="6">
        <v>2815</v>
      </c>
      <c r="B81" s="6" t="s">
        <v>690</v>
      </c>
      <c r="C81" s="7" t="s">
        <v>32</v>
      </c>
      <c r="D81" s="7" t="s">
        <v>33</v>
      </c>
      <c r="E81" s="6" t="s">
        <v>34</v>
      </c>
      <c r="F81" s="6" t="s">
        <v>691</v>
      </c>
      <c r="G81" s="6" t="s">
        <v>692</v>
      </c>
      <c r="H81" s="6" t="s">
        <v>693</v>
      </c>
      <c r="I81" s="6" t="s">
        <v>34</v>
      </c>
      <c r="J81" s="6" t="s">
        <v>336</v>
      </c>
      <c r="K81" s="6" t="s">
        <v>694</v>
      </c>
      <c r="L81" s="6" t="s">
        <v>695</v>
      </c>
      <c r="M81" s="6" t="s">
        <v>55</v>
      </c>
      <c r="N81" s="6" t="s">
        <v>696</v>
      </c>
      <c r="O81" s="9">
        <v>1140900</v>
      </c>
      <c r="P81" s="6" t="s">
        <v>34</v>
      </c>
      <c r="Q81" s="6" t="s">
        <v>34</v>
      </c>
      <c r="R81" s="6" t="s">
        <v>34</v>
      </c>
      <c r="S81" s="6" t="s">
        <v>34</v>
      </c>
      <c r="T81" s="6" t="s">
        <v>34</v>
      </c>
      <c r="U81" s="6" t="s">
        <v>34</v>
      </c>
      <c r="V81" s="6" t="s">
        <v>697</v>
      </c>
      <c r="W81" s="9">
        <v>114067</v>
      </c>
      <c r="X81" s="6" t="s">
        <v>698</v>
      </c>
      <c r="Y81" s="6" t="s">
        <v>34</v>
      </c>
      <c r="Z81" s="6" t="s">
        <v>34</v>
      </c>
      <c r="AA81" s="6" t="s">
        <v>34</v>
      </c>
      <c r="AB81" s="6" t="s">
        <v>34</v>
      </c>
      <c r="AC81" s="6" t="s">
        <v>699</v>
      </c>
      <c r="AD81" s="6" t="s">
        <v>697</v>
      </c>
      <c r="AE81" s="6" t="s">
        <v>34</v>
      </c>
      <c r="AF81" s="6" t="s">
        <v>55</v>
      </c>
      <c r="AG81" s="6" t="s">
        <v>700</v>
      </c>
    </row>
    <row r="82" spans="1:33" ht="15.75" customHeight="1" x14ac:dyDescent="0.15">
      <c r="A82" s="6">
        <v>2815</v>
      </c>
      <c r="B82" s="6" t="s">
        <v>690</v>
      </c>
      <c r="C82" s="7"/>
      <c r="D82" s="7"/>
      <c r="E82" s="7"/>
      <c r="F82" s="7"/>
      <c r="G82" s="7"/>
      <c r="H82" s="7"/>
      <c r="I82" s="7"/>
      <c r="J82" s="7"/>
      <c r="K82" s="7"/>
      <c r="L82" s="7"/>
      <c r="M82" s="7"/>
      <c r="N82" s="7"/>
      <c r="O82" s="7"/>
      <c r="P82" s="7"/>
      <c r="Q82" s="7"/>
      <c r="R82" s="7"/>
      <c r="S82" s="7"/>
      <c r="T82" s="7"/>
      <c r="U82" s="7"/>
      <c r="V82" s="6" t="s">
        <v>701</v>
      </c>
      <c r="W82" s="9">
        <v>20415</v>
      </c>
      <c r="X82" s="6" t="s">
        <v>702</v>
      </c>
      <c r="Y82" s="6" t="s">
        <v>34</v>
      </c>
      <c r="Z82" s="6" t="s">
        <v>34</v>
      </c>
      <c r="AA82" s="6" t="s">
        <v>34</v>
      </c>
      <c r="AB82" s="6" t="s">
        <v>34</v>
      </c>
      <c r="AC82" s="6" t="s">
        <v>703</v>
      </c>
      <c r="AD82" s="6" t="s">
        <v>701</v>
      </c>
      <c r="AE82" s="6" t="s">
        <v>34</v>
      </c>
      <c r="AF82" s="6" t="s">
        <v>55</v>
      </c>
      <c r="AG82" s="6" t="s">
        <v>704</v>
      </c>
    </row>
    <row r="83" spans="1:33" ht="15.75" customHeight="1" x14ac:dyDescent="0.15">
      <c r="A83" s="6">
        <v>2815</v>
      </c>
      <c r="B83" s="6" t="s">
        <v>690</v>
      </c>
      <c r="C83" s="7"/>
      <c r="D83" s="7"/>
      <c r="E83" s="7"/>
      <c r="F83" s="7"/>
      <c r="G83" s="7"/>
      <c r="H83" s="7"/>
      <c r="I83" s="7"/>
      <c r="J83" s="7"/>
      <c r="K83" s="7"/>
      <c r="L83" s="7"/>
      <c r="M83" s="7"/>
      <c r="N83" s="7"/>
      <c r="O83" s="7"/>
      <c r="P83" s="7"/>
      <c r="Q83" s="7"/>
      <c r="R83" s="7"/>
      <c r="S83" s="7"/>
      <c r="T83" s="7"/>
      <c r="U83" s="7"/>
      <c r="V83" s="6" t="s">
        <v>705</v>
      </c>
      <c r="W83" s="9">
        <v>311156</v>
      </c>
      <c r="X83" s="6" t="s">
        <v>706</v>
      </c>
      <c r="Y83" s="6" t="s">
        <v>34</v>
      </c>
      <c r="Z83" s="6" t="s">
        <v>34</v>
      </c>
      <c r="AA83" s="6" t="s">
        <v>34</v>
      </c>
      <c r="AB83" s="6" t="s">
        <v>34</v>
      </c>
      <c r="AC83" s="6" t="s">
        <v>707</v>
      </c>
      <c r="AD83" s="6" t="s">
        <v>705</v>
      </c>
      <c r="AE83" s="6" t="s">
        <v>34</v>
      </c>
      <c r="AF83" s="6" t="s">
        <v>55</v>
      </c>
      <c r="AG83" s="6" t="s">
        <v>708</v>
      </c>
    </row>
    <row r="84" spans="1:33" ht="15.75" customHeight="1" x14ac:dyDescent="0.15">
      <c r="A84" s="6">
        <v>2815</v>
      </c>
      <c r="B84" s="6" t="s">
        <v>690</v>
      </c>
      <c r="C84" s="7"/>
      <c r="D84" s="7"/>
      <c r="E84" s="7"/>
      <c r="F84" s="7"/>
      <c r="G84" s="7"/>
      <c r="H84" s="7"/>
      <c r="I84" s="7"/>
      <c r="J84" s="7"/>
      <c r="K84" s="7"/>
      <c r="L84" s="7"/>
      <c r="M84" s="7"/>
      <c r="N84" s="7"/>
      <c r="O84" s="7"/>
      <c r="P84" s="7"/>
      <c r="Q84" s="7"/>
      <c r="R84" s="7"/>
      <c r="S84" s="7"/>
      <c r="T84" s="7"/>
      <c r="U84" s="7"/>
      <c r="V84" s="6" t="s">
        <v>709</v>
      </c>
      <c r="W84" s="9">
        <v>33286</v>
      </c>
      <c r="X84" s="6" t="s">
        <v>710</v>
      </c>
      <c r="Y84" s="6" t="s">
        <v>34</v>
      </c>
      <c r="Z84" s="6" t="s">
        <v>34</v>
      </c>
      <c r="AA84" s="6" t="s">
        <v>34</v>
      </c>
      <c r="AB84" s="6" t="s">
        <v>34</v>
      </c>
      <c r="AC84" s="6" t="s">
        <v>711</v>
      </c>
      <c r="AD84" s="6" t="s">
        <v>709</v>
      </c>
      <c r="AE84" s="6" t="s">
        <v>34</v>
      </c>
      <c r="AF84" s="6" t="s">
        <v>55</v>
      </c>
      <c r="AG84" s="6" t="s">
        <v>712</v>
      </c>
    </row>
    <row r="85" spans="1:33" ht="15.75" customHeight="1" x14ac:dyDescent="0.15">
      <c r="A85" s="6">
        <v>2815</v>
      </c>
      <c r="B85" s="6" t="s">
        <v>690</v>
      </c>
      <c r="C85" s="7"/>
      <c r="D85" s="7"/>
      <c r="E85" s="7"/>
      <c r="F85" s="7"/>
      <c r="G85" s="7"/>
      <c r="H85" s="7"/>
      <c r="I85" s="7"/>
      <c r="J85" s="7"/>
      <c r="K85" s="7"/>
      <c r="L85" s="7"/>
      <c r="M85" s="7"/>
      <c r="N85" s="7"/>
      <c r="O85" s="7"/>
      <c r="P85" s="7"/>
      <c r="Q85" s="7"/>
      <c r="R85" s="7"/>
      <c r="S85" s="7"/>
      <c r="T85" s="7"/>
      <c r="U85" s="7"/>
      <c r="V85" s="6" t="s">
        <v>713</v>
      </c>
      <c r="W85" s="9">
        <v>22281</v>
      </c>
      <c r="X85" s="6" t="s">
        <v>714</v>
      </c>
      <c r="Y85" s="6" t="s">
        <v>34</v>
      </c>
      <c r="Z85" s="6" t="s">
        <v>34</v>
      </c>
      <c r="AA85" s="6" t="s">
        <v>34</v>
      </c>
      <c r="AB85" s="6" t="s">
        <v>34</v>
      </c>
      <c r="AC85" s="6" t="s">
        <v>715</v>
      </c>
      <c r="AD85" s="6" t="s">
        <v>713</v>
      </c>
      <c r="AE85" s="6" t="s">
        <v>34</v>
      </c>
      <c r="AF85" s="6" t="s">
        <v>55</v>
      </c>
      <c r="AG85" s="6" t="s">
        <v>716</v>
      </c>
    </row>
    <row r="86" spans="1:33" ht="15.75" customHeight="1" x14ac:dyDescent="0.15">
      <c r="A86" s="6">
        <v>2815</v>
      </c>
      <c r="B86" s="6" t="s">
        <v>690</v>
      </c>
      <c r="C86" s="7"/>
      <c r="D86" s="7"/>
      <c r="E86" s="7"/>
      <c r="F86" s="7"/>
      <c r="G86" s="7"/>
      <c r="H86" s="7"/>
      <c r="I86" s="7"/>
      <c r="J86" s="7"/>
      <c r="K86" s="7"/>
      <c r="L86" s="7"/>
      <c r="M86" s="7"/>
      <c r="N86" s="7"/>
      <c r="O86" s="7"/>
      <c r="P86" s="7"/>
      <c r="Q86" s="7"/>
      <c r="R86" s="7"/>
      <c r="S86" s="7"/>
      <c r="T86" s="7"/>
      <c r="U86" s="7"/>
      <c r="V86" s="6" t="s">
        <v>717</v>
      </c>
      <c r="W86" s="9">
        <v>638155</v>
      </c>
      <c r="X86" s="6" t="s">
        <v>718</v>
      </c>
      <c r="Y86" s="6" t="s">
        <v>34</v>
      </c>
      <c r="Z86" s="6" t="s">
        <v>34</v>
      </c>
      <c r="AA86" s="6" t="s">
        <v>34</v>
      </c>
      <c r="AB86" s="6" t="s">
        <v>34</v>
      </c>
      <c r="AC86" s="6" t="s">
        <v>719</v>
      </c>
      <c r="AD86" s="6" t="s">
        <v>717</v>
      </c>
      <c r="AE86" s="6" t="s">
        <v>34</v>
      </c>
      <c r="AF86" s="6" t="s">
        <v>55</v>
      </c>
      <c r="AG86" s="6" t="s">
        <v>720</v>
      </c>
    </row>
    <row r="87" spans="1:33" ht="111" customHeight="1" x14ac:dyDescent="0.15">
      <c r="A87" s="6">
        <v>2030</v>
      </c>
      <c r="B87" s="6" t="s">
        <v>721</v>
      </c>
      <c r="C87" s="7" t="s">
        <v>32</v>
      </c>
      <c r="D87" s="7" t="s">
        <v>33</v>
      </c>
      <c r="E87" s="6" t="s">
        <v>34</v>
      </c>
      <c r="F87" s="6" t="s">
        <v>722</v>
      </c>
      <c r="G87" s="6" t="s">
        <v>723</v>
      </c>
      <c r="H87" s="6" t="s">
        <v>724</v>
      </c>
      <c r="I87" s="6" t="s">
        <v>34</v>
      </c>
      <c r="J87" s="6" t="s">
        <v>336</v>
      </c>
      <c r="K87" s="6" t="s">
        <v>725</v>
      </c>
      <c r="L87" s="6" t="s">
        <v>726</v>
      </c>
      <c r="M87" s="6" t="s">
        <v>55</v>
      </c>
      <c r="N87" s="6" t="s">
        <v>727</v>
      </c>
      <c r="O87" s="6" t="s">
        <v>728</v>
      </c>
      <c r="P87" s="6" t="s">
        <v>34</v>
      </c>
      <c r="Q87" s="6" t="s">
        <v>729</v>
      </c>
      <c r="R87" s="6" t="s">
        <v>34</v>
      </c>
      <c r="S87" s="6" t="s">
        <v>34</v>
      </c>
      <c r="T87" s="6" t="s">
        <v>34</v>
      </c>
      <c r="U87" s="6" t="s">
        <v>34</v>
      </c>
      <c r="V87" s="6" t="s">
        <v>33</v>
      </c>
      <c r="W87" s="6" t="s">
        <v>730</v>
      </c>
      <c r="X87" s="13" t="s">
        <v>34</v>
      </c>
      <c r="Y87" s="6" t="s">
        <v>731</v>
      </c>
      <c r="Z87" s="6" t="s">
        <v>34</v>
      </c>
      <c r="AA87" s="6" t="s">
        <v>34</v>
      </c>
      <c r="AB87" s="6" t="s">
        <v>34</v>
      </c>
      <c r="AC87" s="6" t="s">
        <v>34</v>
      </c>
      <c r="AD87" s="6" t="s">
        <v>33</v>
      </c>
      <c r="AE87" s="6" t="s">
        <v>732</v>
      </c>
      <c r="AF87" s="6" t="s">
        <v>733</v>
      </c>
      <c r="AG87" s="6" t="s">
        <v>734</v>
      </c>
    </row>
    <row r="88" spans="1:33" ht="15.75" customHeight="1" x14ac:dyDescent="0.15">
      <c r="A88" s="6">
        <v>2030</v>
      </c>
      <c r="B88" s="6" t="s">
        <v>721</v>
      </c>
      <c r="C88" s="7"/>
      <c r="D88" s="7"/>
      <c r="E88" s="7"/>
      <c r="F88" s="7"/>
      <c r="G88" s="7"/>
      <c r="H88" s="7"/>
      <c r="I88" s="7"/>
      <c r="J88" s="7"/>
      <c r="K88" s="7"/>
      <c r="L88" s="7"/>
      <c r="M88" s="7"/>
      <c r="N88" s="7"/>
      <c r="O88" s="7"/>
      <c r="P88" s="7"/>
      <c r="Q88" s="7"/>
      <c r="R88" s="7"/>
      <c r="S88" s="7"/>
      <c r="T88" s="7"/>
      <c r="U88" s="7"/>
      <c r="V88" s="6" t="s">
        <v>46</v>
      </c>
      <c r="W88" s="9">
        <v>93708</v>
      </c>
      <c r="X88" s="6" t="s">
        <v>34</v>
      </c>
      <c r="Y88" s="6" t="s">
        <v>55</v>
      </c>
      <c r="Z88" s="6" t="s">
        <v>34</v>
      </c>
      <c r="AA88" s="6" t="s">
        <v>34</v>
      </c>
      <c r="AB88" s="6" t="s">
        <v>34</v>
      </c>
      <c r="AC88" s="6" t="s">
        <v>34</v>
      </c>
      <c r="AD88" s="6" t="s">
        <v>46</v>
      </c>
      <c r="AE88" s="6" t="s">
        <v>735</v>
      </c>
      <c r="AF88" s="6" t="s">
        <v>55</v>
      </c>
      <c r="AG88" s="6" t="s">
        <v>736</v>
      </c>
    </row>
    <row r="89" spans="1:33" ht="69" customHeight="1" x14ac:dyDescent="0.15">
      <c r="A89" s="6">
        <v>1558</v>
      </c>
      <c r="B89" s="6" t="s">
        <v>737</v>
      </c>
      <c r="C89" s="7" t="s">
        <v>32</v>
      </c>
      <c r="D89" s="7" t="s">
        <v>33</v>
      </c>
      <c r="E89" s="6" t="s">
        <v>34</v>
      </c>
      <c r="F89" s="6" t="s">
        <v>738</v>
      </c>
      <c r="G89" s="6" t="s">
        <v>739</v>
      </c>
      <c r="H89" s="6" t="s">
        <v>34</v>
      </c>
      <c r="I89" s="6" t="s">
        <v>740</v>
      </c>
      <c r="J89" s="6" t="s">
        <v>383</v>
      </c>
      <c r="K89" s="6" t="s">
        <v>741</v>
      </c>
      <c r="L89" s="6" t="s">
        <v>34</v>
      </c>
      <c r="M89" s="6" t="s">
        <v>742</v>
      </c>
      <c r="N89" s="6" t="s">
        <v>743</v>
      </c>
      <c r="O89" s="6" t="s">
        <v>744</v>
      </c>
      <c r="P89" s="6" t="s">
        <v>745</v>
      </c>
      <c r="Q89" s="6" t="s">
        <v>34</v>
      </c>
      <c r="R89" s="6" t="s">
        <v>746</v>
      </c>
      <c r="S89" s="6" t="s">
        <v>34</v>
      </c>
      <c r="T89" s="6" t="s">
        <v>747</v>
      </c>
      <c r="U89" s="6" t="s">
        <v>34</v>
      </c>
      <c r="V89" s="6" t="s">
        <v>33</v>
      </c>
      <c r="W89" s="6">
        <f>257+1097</f>
        <v>1354</v>
      </c>
      <c r="X89" s="6" t="s">
        <v>34</v>
      </c>
      <c r="Y89" s="6" t="s">
        <v>748</v>
      </c>
      <c r="Z89" s="6" t="s">
        <v>34</v>
      </c>
      <c r="AA89" s="6" t="s">
        <v>34</v>
      </c>
      <c r="AB89" s="6" t="s">
        <v>34</v>
      </c>
      <c r="AC89" s="6" t="s">
        <v>34</v>
      </c>
      <c r="AD89" s="6" t="s">
        <v>33</v>
      </c>
      <c r="AE89" s="6" t="s">
        <v>749</v>
      </c>
      <c r="AF89" s="6" t="s">
        <v>55</v>
      </c>
      <c r="AG89" s="6" t="s">
        <v>750</v>
      </c>
    </row>
    <row r="90" spans="1:33" ht="69" customHeight="1" x14ac:dyDescent="0.15">
      <c r="A90" s="6">
        <v>1558</v>
      </c>
      <c r="B90" s="6" t="s">
        <v>737</v>
      </c>
      <c r="C90" s="7"/>
      <c r="D90" s="7"/>
      <c r="E90" s="7"/>
      <c r="F90" s="7"/>
      <c r="G90" s="7"/>
      <c r="H90" s="7"/>
      <c r="I90" s="7"/>
      <c r="J90" s="7"/>
      <c r="K90" s="7"/>
      <c r="L90" s="7"/>
      <c r="M90" s="7"/>
      <c r="N90" s="7"/>
      <c r="O90" s="7"/>
      <c r="P90" s="7"/>
      <c r="Q90" s="7"/>
      <c r="R90" s="7"/>
      <c r="S90" s="7"/>
      <c r="T90" s="7"/>
      <c r="U90" s="7"/>
      <c r="V90" s="6" t="s">
        <v>46</v>
      </c>
      <c r="W90" s="6">
        <f>48+248</f>
        <v>296</v>
      </c>
      <c r="X90" s="6" t="s">
        <v>34</v>
      </c>
      <c r="Y90" s="6" t="s">
        <v>34</v>
      </c>
      <c r="Z90" s="6" t="s">
        <v>34</v>
      </c>
      <c r="AA90" s="6" t="s">
        <v>34</v>
      </c>
      <c r="AB90" s="6" t="s">
        <v>34</v>
      </c>
      <c r="AC90" s="6" t="s">
        <v>34</v>
      </c>
      <c r="AD90" s="6" t="s">
        <v>46</v>
      </c>
      <c r="AE90" s="6" t="s">
        <v>55</v>
      </c>
      <c r="AF90" s="6" t="s">
        <v>55</v>
      </c>
      <c r="AG90" s="6" t="s">
        <v>751</v>
      </c>
    </row>
    <row r="91" spans="1:33" ht="60" customHeight="1" x14ac:dyDescent="0.15">
      <c r="A91" s="6">
        <v>1555</v>
      </c>
      <c r="B91" s="6" t="s">
        <v>752</v>
      </c>
      <c r="C91" s="7" t="s">
        <v>32</v>
      </c>
      <c r="D91" s="7" t="s">
        <v>33</v>
      </c>
      <c r="E91" s="6" t="s">
        <v>34</v>
      </c>
      <c r="F91" s="6" t="s">
        <v>753</v>
      </c>
      <c r="G91" s="6" t="s">
        <v>754</v>
      </c>
      <c r="H91" s="6" t="s">
        <v>34</v>
      </c>
      <c r="I91" s="6" t="s">
        <v>755</v>
      </c>
      <c r="J91" s="6" t="s">
        <v>68</v>
      </c>
      <c r="K91" s="6" t="s">
        <v>756</v>
      </c>
      <c r="L91" s="6" t="s">
        <v>757</v>
      </c>
      <c r="M91" s="6" t="s">
        <v>758</v>
      </c>
      <c r="N91" s="6" t="s">
        <v>759</v>
      </c>
      <c r="O91" s="6" t="s">
        <v>760</v>
      </c>
      <c r="P91" s="6" t="s">
        <v>34</v>
      </c>
      <c r="Q91" s="6" t="s">
        <v>761</v>
      </c>
      <c r="R91" s="6" t="s">
        <v>34</v>
      </c>
      <c r="S91" s="6" t="s">
        <v>762</v>
      </c>
      <c r="T91" s="6" t="s">
        <v>34</v>
      </c>
      <c r="U91" s="6" t="s">
        <v>34</v>
      </c>
      <c r="V91" s="6" t="s">
        <v>33</v>
      </c>
      <c r="W91" s="6">
        <v>10710</v>
      </c>
      <c r="X91" s="6" t="s">
        <v>763</v>
      </c>
      <c r="Y91" s="6" t="s">
        <v>764</v>
      </c>
      <c r="Z91" s="6" t="s">
        <v>763</v>
      </c>
      <c r="AA91" s="6" t="s">
        <v>763</v>
      </c>
      <c r="AB91" s="6" t="s">
        <v>763</v>
      </c>
      <c r="AC91" s="6" t="s">
        <v>765</v>
      </c>
      <c r="AD91" s="6" t="s">
        <v>33</v>
      </c>
      <c r="AE91" s="6" t="s">
        <v>766</v>
      </c>
      <c r="AF91" s="6" t="s">
        <v>34</v>
      </c>
      <c r="AG91" s="6" t="s">
        <v>767</v>
      </c>
    </row>
    <row r="92" spans="1:33" ht="60" customHeight="1" x14ac:dyDescent="0.15">
      <c r="A92" s="6">
        <v>1555</v>
      </c>
      <c r="B92" s="6" t="s">
        <v>752</v>
      </c>
      <c r="C92" s="7"/>
      <c r="D92" s="7"/>
      <c r="E92" s="7"/>
      <c r="F92" s="7"/>
      <c r="G92" s="7"/>
      <c r="H92" s="7"/>
      <c r="I92" s="7"/>
      <c r="J92" s="7"/>
      <c r="K92" s="7"/>
      <c r="L92" s="7"/>
      <c r="M92" s="7"/>
      <c r="N92" s="7"/>
      <c r="O92" s="7"/>
      <c r="P92" s="7"/>
      <c r="Q92" s="7"/>
      <c r="R92" s="7"/>
      <c r="S92" s="7"/>
      <c r="T92" s="7"/>
      <c r="U92" s="7"/>
      <c r="V92" s="6" t="s">
        <v>46</v>
      </c>
      <c r="W92" s="6">
        <v>131450</v>
      </c>
      <c r="X92" s="6" t="s">
        <v>469</v>
      </c>
      <c r="Y92" s="6" t="s">
        <v>55</v>
      </c>
      <c r="Z92" s="6" t="s">
        <v>34</v>
      </c>
      <c r="AA92" s="6" t="s">
        <v>34</v>
      </c>
      <c r="AB92" s="6" t="s">
        <v>34</v>
      </c>
      <c r="AC92" s="6" t="s">
        <v>768</v>
      </c>
      <c r="AD92" s="6" t="s">
        <v>46</v>
      </c>
      <c r="AE92" s="6" t="s">
        <v>769</v>
      </c>
      <c r="AF92" s="6" t="s">
        <v>55</v>
      </c>
      <c r="AG92" s="6" t="s">
        <v>770</v>
      </c>
    </row>
    <row r="93" spans="1:33" ht="15.75" customHeight="1" x14ac:dyDescent="0.15">
      <c r="A93" s="6" t="s">
        <v>771</v>
      </c>
      <c r="B93" s="6" t="s">
        <v>772</v>
      </c>
      <c r="C93" s="7" t="s">
        <v>32</v>
      </c>
      <c r="D93" s="7" t="s">
        <v>33</v>
      </c>
      <c r="E93" s="6" t="s">
        <v>34</v>
      </c>
      <c r="F93" s="6" t="s">
        <v>773</v>
      </c>
      <c r="G93" s="6" t="s">
        <v>774</v>
      </c>
      <c r="H93" s="6" t="s">
        <v>408</v>
      </c>
      <c r="I93" s="6" t="s">
        <v>775</v>
      </c>
      <c r="J93" s="6" t="s">
        <v>663</v>
      </c>
      <c r="K93" s="6" t="s">
        <v>776</v>
      </c>
      <c r="L93" s="6" t="s">
        <v>34</v>
      </c>
      <c r="M93" s="6" t="s">
        <v>34</v>
      </c>
      <c r="N93" s="6" t="s">
        <v>34</v>
      </c>
      <c r="O93" s="6">
        <v>111</v>
      </c>
      <c r="P93" s="6" t="s">
        <v>777</v>
      </c>
      <c r="Q93" s="6" t="s">
        <v>778</v>
      </c>
      <c r="R93" s="7" t="s">
        <v>34</v>
      </c>
      <c r="S93" s="7" t="s">
        <v>34</v>
      </c>
      <c r="T93" s="6" t="s">
        <v>34</v>
      </c>
      <c r="U93" s="6" t="s">
        <v>779</v>
      </c>
      <c r="V93" s="6" t="s">
        <v>33</v>
      </c>
      <c r="W93" s="6">
        <v>76</v>
      </c>
      <c r="X93" s="6" t="s">
        <v>780</v>
      </c>
      <c r="Y93" s="6" t="s">
        <v>34</v>
      </c>
      <c r="Z93" s="6" t="s">
        <v>781</v>
      </c>
      <c r="AA93" s="6" t="s">
        <v>782</v>
      </c>
      <c r="AB93" s="6" t="s">
        <v>34</v>
      </c>
      <c r="AC93" s="6" t="s">
        <v>34</v>
      </c>
      <c r="AD93" s="6" t="s">
        <v>33</v>
      </c>
      <c r="AE93" s="6" t="s">
        <v>34</v>
      </c>
      <c r="AF93" s="6" t="s">
        <v>55</v>
      </c>
      <c r="AG93" s="6" t="s">
        <v>34</v>
      </c>
    </row>
    <row r="94" spans="1:33" ht="15.75" customHeight="1" x14ac:dyDescent="0.15">
      <c r="A94" s="6" t="s">
        <v>771</v>
      </c>
      <c r="B94" s="6" t="s">
        <v>772</v>
      </c>
      <c r="C94" s="7"/>
      <c r="D94" s="7"/>
      <c r="E94" s="7"/>
      <c r="F94" s="7"/>
      <c r="G94" s="7"/>
      <c r="H94" s="7"/>
      <c r="I94" s="7"/>
      <c r="J94" s="7"/>
      <c r="K94" s="7"/>
      <c r="L94" s="7"/>
      <c r="M94" s="7"/>
      <c r="N94" s="7"/>
      <c r="O94" s="7"/>
      <c r="P94" s="7"/>
      <c r="Q94" s="7"/>
      <c r="R94" s="7"/>
      <c r="S94" s="7"/>
      <c r="T94" s="7"/>
      <c r="U94" s="7"/>
      <c r="V94" s="6" t="s">
        <v>46</v>
      </c>
      <c r="W94" s="6">
        <v>35</v>
      </c>
      <c r="X94" s="6" t="s">
        <v>783</v>
      </c>
      <c r="Y94" s="6" t="s">
        <v>34</v>
      </c>
      <c r="Z94" s="6" t="s">
        <v>784</v>
      </c>
      <c r="AA94" s="14">
        <v>5.8000000000000003E-2</v>
      </c>
      <c r="AB94" s="6" t="s">
        <v>34</v>
      </c>
      <c r="AC94" s="6" t="s">
        <v>34</v>
      </c>
      <c r="AD94" s="6" t="s">
        <v>46</v>
      </c>
      <c r="AE94" s="6" t="s">
        <v>34</v>
      </c>
      <c r="AF94" s="6" t="s">
        <v>55</v>
      </c>
      <c r="AG94" s="6" t="s">
        <v>34</v>
      </c>
    </row>
    <row r="95" spans="1:33" ht="123.75" customHeight="1" x14ac:dyDescent="0.15">
      <c r="A95" s="6">
        <v>1485</v>
      </c>
      <c r="B95" s="6" t="s">
        <v>785</v>
      </c>
      <c r="C95" s="7" t="s">
        <v>32</v>
      </c>
      <c r="D95" s="7" t="s">
        <v>33</v>
      </c>
      <c r="E95" s="6" t="s">
        <v>786</v>
      </c>
      <c r="F95" s="6" t="s">
        <v>787</v>
      </c>
      <c r="G95" s="6" t="s">
        <v>788</v>
      </c>
      <c r="H95" s="6" t="s">
        <v>34</v>
      </c>
      <c r="I95" s="6" t="s">
        <v>789</v>
      </c>
      <c r="J95" s="6" t="s">
        <v>68</v>
      </c>
      <c r="K95" s="6" t="s">
        <v>790</v>
      </c>
      <c r="L95" s="6" t="s">
        <v>791</v>
      </c>
      <c r="M95" s="6" t="s">
        <v>55</v>
      </c>
      <c r="N95" s="6" t="s">
        <v>34</v>
      </c>
      <c r="O95" s="6" t="s">
        <v>792</v>
      </c>
      <c r="P95" s="6" t="s">
        <v>34</v>
      </c>
      <c r="Q95" s="6" t="s">
        <v>34</v>
      </c>
      <c r="R95" s="6" t="s">
        <v>34</v>
      </c>
      <c r="S95" s="6" t="s">
        <v>34</v>
      </c>
      <c r="T95" s="6" t="s">
        <v>34</v>
      </c>
      <c r="U95" s="6" t="s">
        <v>34</v>
      </c>
      <c r="V95" s="6" t="s">
        <v>33</v>
      </c>
      <c r="W95" s="9">
        <v>103254</v>
      </c>
      <c r="X95" s="6" t="s">
        <v>793</v>
      </c>
      <c r="Y95" s="6" t="s">
        <v>34</v>
      </c>
      <c r="Z95" s="6" t="s">
        <v>794</v>
      </c>
      <c r="AA95" s="6" t="s">
        <v>795</v>
      </c>
      <c r="AB95" s="6" t="s">
        <v>34</v>
      </c>
      <c r="AC95" s="6" t="s">
        <v>796</v>
      </c>
      <c r="AD95" s="6" t="s">
        <v>33</v>
      </c>
      <c r="AE95" s="6" t="s">
        <v>797</v>
      </c>
      <c r="AF95" s="6" t="s">
        <v>55</v>
      </c>
      <c r="AG95" s="6" t="s">
        <v>34</v>
      </c>
    </row>
    <row r="96" spans="1:33" ht="123.75" customHeight="1" x14ac:dyDescent="0.15">
      <c r="A96" s="6">
        <v>1485</v>
      </c>
      <c r="B96" s="6" t="s">
        <v>785</v>
      </c>
      <c r="C96" s="7"/>
      <c r="D96" s="7"/>
      <c r="E96" s="7"/>
      <c r="F96" s="7"/>
      <c r="G96" s="7"/>
      <c r="H96" s="7"/>
      <c r="I96" s="7"/>
      <c r="J96" s="7"/>
      <c r="K96" s="7"/>
      <c r="L96" s="7"/>
      <c r="M96" s="7"/>
      <c r="N96" s="7"/>
      <c r="O96" s="7"/>
      <c r="P96" s="7"/>
      <c r="Q96" s="7"/>
      <c r="R96" s="7"/>
      <c r="S96" s="7"/>
      <c r="T96" s="7"/>
      <c r="U96" s="7"/>
      <c r="V96" s="6" t="s">
        <v>46</v>
      </c>
      <c r="W96" s="9">
        <v>14957</v>
      </c>
      <c r="X96" s="6" t="s">
        <v>798</v>
      </c>
      <c r="Y96" s="6" t="s">
        <v>34</v>
      </c>
      <c r="Z96" s="6" t="s">
        <v>799</v>
      </c>
      <c r="AA96" s="6" t="s">
        <v>800</v>
      </c>
      <c r="AB96" s="6" t="s">
        <v>34</v>
      </c>
      <c r="AC96" s="6" t="s">
        <v>801</v>
      </c>
      <c r="AD96" s="6" t="s">
        <v>46</v>
      </c>
      <c r="AE96" s="6" t="s">
        <v>802</v>
      </c>
      <c r="AF96" s="6" t="s">
        <v>55</v>
      </c>
      <c r="AG96" s="6" t="s">
        <v>34</v>
      </c>
    </row>
    <row r="97" spans="1:33" ht="38.25" customHeight="1" x14ac:dyDescent="0.15">
      <c r="A97" s="6">
        <v>1703</v>
      </c>
      <c r="B97" s="12" t="s">
        <v>803</v>
      </c>
      <c r="C97" s="7" t="s">
        <v>32</v>
      </c>
      <c r="D97" s="7" t="s">
        <v>33</v>
      </c>
      <c r="E97" s="6" t="s">
        <v>804</v>
      </c>
      <c r="F97" s="6" t="s">
        <v>805</v>
      </c>
      <c r="G97" s="6" t="s">
        <v>806</v>
      </c>
      <c r="H97" s="6" t="s">
        <v>807</v>
      </c>
      <c r="I97" s="6" t="s">
        <v>34</v>
      </c>
      <c r="J97" s="6" t="s">
        <v>68</v>
      </c>
      <c r="K97" s="6" t="s">
        <v>808</v>
      </c>
      <c r="L97" s="6" t="s">
        <v>809</v>
      </c>
      <c r="M97" s="6" t="s">
        <v>34</v>
      </c>
      <c r="N97" s="6" t="s">
        <v>810</v>
      </c>
      <c r="O97" s="6" t="s">
        <v>811</v>
      </c>
      <c r="P97" s="6" t="s">
        <v>812</v>
      </c>
      <c r="Q97" s="6" t="s">
        <v>34</v>
      </c>
      <c r="R97" s="6" t="s">
        <v>34</v>
      </c>
      <c r="S97" s="6" t="s">
        <v>34</v>
      </c>
      <c r="T97" s="6" t="s">
        <v>813</v>
      </c>
      <c r="U97" s="6" t="s">
        <v>34</v>
      </c>
      <c r="V97" s="6" t="s">
        <v>814</v>
      </c>
      <c r="W97" s="6">
        <v>170799</v>
      </c>
      <c r="X97" s="6" t="s">
        <v>815</v>
      </c>
      <c r="Y97" s="6" t="s">
        <v>34</v>
      </c>
      <c r="Z97" s="6" t="s">
        <v>34</v>
      </c>
      <c r="AA97" s="6" t="s">
        <v>34</v>
      </c>
      <c r="AB97" s="6" t="s">
        <v>816</v>
      </c>
      <c r="AC97" s="6" t="s">
        <v>34</v>
      </c>
      <c r="AD97" s="6" t="s">
        <v>814</v>
      </c>
      <c r="AE97" s="6" t="s">
        <v>817</v>
      </c>
      <c r="AF97" s="6" t="s">
        <v>34</v>
      </c>
      <c r="AG97" s="6" t="s">
        <v>34</v>
      </c>
    </row>
    <row r="98" spans="1:33" ht="38.25" customHeight="1" x14ac:dyDescent="0.15">
      <c r="A98" s="6">
        <v>1703</v>
      </c>
      <c r="B98" s="12" t="s">
        <v>803</v>
      </c>
      <c r="C98" s="7"/>
      <c r="D98" s="7"/>
      <c r="E98" s="7"/>
      <c r="F98" s="7"/>
      <c r="G98" s="7"/>
      <c r="H98" s="7"/>
      <c r="I98" s="7"/>
      <c r="J98" s="7"/>
      <c r="K98" s="7"/>
      <c r="L98" s="7"/>
      <c r="M98" s="7"/>
      <c r="N98" s="7"/>
      <c r="O98" s="7"/>
      <c r="P98" s="7"/>
      <c r="Q98" s="7"/>
      <c r="R98" s="7"/>
      <c r="S98" s="7"/>
      <c r="T98" s="7"/>
      <c r="U98" s="7"/>
      <c r="V98" s="6" t="s">
        <v>818</v>
      </c>
      <c r="W98" s="6">
        <v>4706</v>
      </c>
      <c r="X98" s="6" t="s">
        <v>819</v>
      </c>
      <c r="Y98" s="6" t="s">
        <v>34</v>
      </c>
      <c r="Z98" s="6" t="s">
        <v>34</v>
      </c>
      <c r="AA98" s="6" t="s">
        <v>34</v>
      </c>
      <c r="AB98" s="6" t="s">
        <v>820</v>
      </c>
      <c r="AC98" s="6" t="s">
        <v>34</v>
      </c>
      <c r="AD98" s="6" t="s">
        <v>818</v>
      </c>
      <c r="AE98" s="6" t="s">
        <v>821</v>
      </c>
      <c r="AF98" s="6" t="s">
        <v>34</v>
      </c>
      <c r="AG98" s="6" t="s">
        <v>34</v>
      </c>
    </row>
    <row r="99" spans="1:33" ht="38.25" customHeight="1" x14ac:dyDescent="0.15">
      <c r="A99" s="6">
        <v>1703</v>
      </c>
      <c r="B99" s="12" t="s">
        <v>803</v>
      </c>
      <c r="C99" s="7"/>
      <c r="D99" s="7"/>
      <c r="E99" s="7"/>
      <c r="F99" s="7"/>
      <c r="G99" s="7"/>
      <c r="H99" s="7"/>
      <c r="I99" s="7"/>
      <c r="J99" s="7"/>
      <c r="K99" s="7"/>
      <c r="L99" s="7"/>
      <c r="M99" s="7"/>
      <c r="N99" s="7"/>
      <c r="O99" s="7"/>
      <c r="P99" s="7"/>
      <c r="Q99" s="7"/>
      <c r="R99" s="7"/>
      <c r="S99" s="7"/>
      <c r="T99" s="7"/>
      <c r="U99" s="7"/>
      <c r="V99" s="6" t="s">
        <v>46</v>
      </c>
      <c r="W99" s="6">
        <v>88304</v>
      </c>
      <c r="X99" s="7" t="s">
        <v>822</v>
      </c>
      <c r="Y99" s="6" t="s">
        <v>55</v>
      </c>
      <c r="Z99" s="6" t="s">
        <v>34</v>
      </c>
      <c r="AA99" s="6" t="s">
        <v>34</v>
      </c>
      <c r="AB99" s="6" t="s">
        <v>823</v>
      </c>
      <c r="AC99" s="6" t="s">
        <v>34</v>
      </c>
      <c r="AD99" s="6" t="s">
        <v>46</v>
      </c>
      <c r="AE99" s="6" t="s">
        <v>55</v>
      </c>
      <c r="AF99" s="6" t="s">
        <v>55</v>
      </c>
      <c r="AG99" s="6" t="s">
        <v>34</v>
      </c>
    </row>
    <row r="100" spans="1:33" ht="84.75" customHeight="1" x14ac:dyDescent="0.15">
      <c r="A100" s="6">
        <v>1550</v>
      </c>
      <c r="B100" s="12" t="s">
        <v>824</v>
      </c>
      <c r="C100" s="7" t="s">
        <v>170</v>
      </c>
      <c r="D100" s="7" t="s">
        <v>825</v>
      </c>
      <c r="E100" s="6" t="s">
        <v>826</v>
      </c>
      <c r="F100" s="6" t="s">
        <v>827</v>
      </c>
      <c r="G100" s="6" t="s">
        <v>828</v>
      </c>
      <c r="H100" s="6" t="s">
        <v>829</v>
      </c>
      <c r="I100" s="7" t="s">
        <v>830</v>
      </c>
      <c r="J100" s="6" t="s">
        <v>831</v>
      </c>
      <c r="K100" s="6" t="s">
        <v>832</v>
      </c>
      <c r="L100" s="6" t="s">
        <v>833</v>
      </c>
      <c r="M100" s="6" t="s">
        <v>834</v>
      </c>
      <c r="N100" s="6" t="s">
        <v>835</v>
      </c>
      <c r="O100" s="6" t="s">
        <v>836</v>
      </c>
      <c r="P100" s="6" t="s">
        <v>34</v>
      </c>
      <c r="Q100" s="6" t="s">
        <v>34</v>
      </c>
      <c r="R100" s="6" t="s">
        <v>837</v>
      </c>
      <c r="S100" s="6" t="s">
        <v>838</v>
      </c>
      <c r="T100" s="6" t="s">
        <v>34</v>
      </c>
      <c r="U100" s="6" t="s">
        <v>34</v>
      </c>
      <c r="V100" s="6" t="s">
        <v>33</v>
      </c>
      <c r="W100" s="6">
        <v>133</v>
      </c>
      <c r="X100" s="6" t="s">
        <v>839</v>
      </c>
      <c r="Y100" s="6" t="s">
        <v>840</v>
      </c>
      <c r="Z100" s="6" t="s">
        <v>34</v>
      </c>
      <c r="AA100" s="6" t="s">
        <v>841</v>
      </c>
      <c r="AB100" s="6" t="s">
        <v>34</v>
      </c>
      <c r="AC100" s="6" t="s">
        <v>34</v>
      </c>
      <c r="AD100" s="6" t="s">
        <v>33</v>
      </c>
      <c r="AE100" s="7" t="s">
        <v>842</v>
      </c>
      <c r="AF100" s="6" t="s">
        <v>843</v>
      </c>
      <c r="AG100" s="6" t="s">
        <v>34</v>
      </c>
    </row>
    <row r="101" spans="1:33" ht="15.75" customHeight="1" x14ac:dyDescent="0.15">
      <c r="A101" s="6">
        <v>1550</v>
      </c>
      <c r="B101" s="12" t="s">
        <v>824</v>
      </c>
      <c r="C101" s="7"/>
      <c r="D101" s="7"/>
      <c r="E101" s="7"/>
      <c r="F101" s="7"/>
      <c r="G101" s="7"/>
      <c r="H101" s="7"/>
      <c r="I101" s="7"/>
      <c r="J101" s="7"/>
      <c r="K101" s="7"/>
      <c r="L101" s="7"/>
      <c r="M101" s="7"/>
      <c r="N101" s="7"/>
      <c r="O101" s="7"/>
      <c r="P101" s="7"/>
      <c r="Q101" s="7"/>
      <c r="R101" s="7"/>
      <c r="S101" s="7"/>
      <c r="T101" s="7"/>
      <c r="U101" s="7"/>
      <c r="V101" s="6" t="s">
        <v>844</v>
      </c>
      <c r="W101" s="6">
        <v>67</v>
      </c>
      <c r="X101" s="6" t="s">
        <v>845</v>
      </c>
      <c r="Y101" s="6" t="s">
        <v>846</v>
      </c>
      <c r="Z101" s="6" t="s">
        <v>34</v>
      </c>
      <c r="AA101" s="6" t="s">
        <v>841</v>
      </c>
      <c r="AB101" s="6" t="s">
        <v>34</v>
      </c>
      <c r="AC101" s="6" t="s">
        <v>34</v>
      </c>
      <c r="AD101" s="6" t="s">
        <v>844</v>
      </c>
      <c r="AE101" s="7" t="s">
        <v>847</v>
      </c>
      <c r="AF101" s="6" t="s">
        <v>843</v>
      </c>
      <c r="AG101" s="6" t="s">
        <v>34</v>
      </c>
    </row>
    <row r="102" spans="1:33" ht="15.75" customHeight="1" x14ac:dyDescent="0.15">
      <c r="A102" s="7">
        <v>2884</v>
      </c>
      <c r="B102" s="7" t="s">
        <v>848</v>
      </c>
      <c r="C102" s="7" t="s">
        <v>849</v>
      </c>
      <c r="D102" s="7" t="s">
        <v>33</v>
      </c>
      <c r="E102" s="7" t="s">
        <v>34</v>
      </c>
      <c r="F102" s="7" t="s">
        <v>850</v>
      </c>
      <c r="G102" s="7" t="s">
        <v>851</v>
      </c>
      <c r="H102" s="7" t="s">
        <v>55</v>
      </c>
      <c r="I102" s="7" t="s">
        <v>852</v>
      </c>
      <c r="J102" s="7" t="s">
        <v>853</v>
      </c>
      <c r="K102" s="7" t="s">
        <v>854</v>
      </c>
      <c r="L102" s="7" t="s">
        <v>855</v>
      </c>
      <c r="M102" s="7" t="s">
        <v>856</v>
      </c>
      <c r="N102" s="7" t="s">
        <v>857</v>
      </c>
      <c r="O102" s="7">
        <v>181</v>
      </c>
      <c r="P102" s="7" t="s">
        <v>858</v>
      </c>
      <c r="Q102" s="7" t="s">
        <v>859</v>
      </c>
      <c r="R102" s="7" t="s">
        <v>860</v>
      </c>
      <c r="S102" s="7" t="s">
        <v>34</v>
      </c>
      <c r="T102" s="7" t="s">
        <v>34</v>
      </c>
      <c r="U102" s="7" t="s">
        <v>34</v>
      </c>
      <c r="V102" s="7" t="s">
        <v>861</v>
      </c>
      <c r="W102" s="7">
        <v>40</v>
      </c>
      <c r="X102" s="7" t="s">
        <v>862</v>
      </c>
      <c r="Y102" s="7" t="s">
        <v>863</v>
      </c>
      <c r="Z102" s="7" t="s">
        <v>864</v>
      </c>
      <c r="AA102" s="7" t="s">
        <v>34</v>
      </c>
      <c r="AB102" s="7" t="s">
        <v>34</v>
      </c>
      <c r="AC102" s="7" t="s">
        <v>34</v>
      </c>
      <c r="AD102" s="7" t="s">
        <v>861</v>
      </c>
      <c r="AE102" s="7" t="s">
        <v>865</v>
      </c>
      <c r="AF102" s="7" t="s">
        <v>866</v>
      </c>
      <c r="AG102" s="7" t="s">
        <v>34</v>
      </c>
    </row>
    <row r="103" spans="1:33" ht="15.75" customHeight="1" x14ac:dyDescent="0.15">
      <c r="A103" s="7">
        <v>2884</v>
      </c>
      <c r="B103" s="7" t="s">
        <v>848</v>
      </c>
      <c r="C103" s="7"/>
      <c r="D103" s="7"/>
      <c r="E103" s="7"/>
      <c r="F103" s="7"/>
      <c r="G103" s="7"/>
      <c r="H103" s="7"/>
      <c r="I103" s="7"/>
      <c r="J103" s="7"/>
      <c r="K103" s="7"/>
      <c r="L103" s="7"/>
      <c r="M103" s="7"/>
      <c r="N103" s="7"/>
      <c r="O103" s="7"/>
      <c r="P103" s="7"/>
      <c r="Q103" s="7"/>
      <c r="R103" s="7"/>
      <c r="S103" s="7"/>
      <c r="T103" s="7"/>
      <c r="U103" s="7"/>
      <c r="V103" s="7" t="s">
        <v>867</v>
      </c>
      <c r="W103" s="7">
        <v>50</v>
      </c>
      <c r="X103" s="7" t="s">
        <v>868</v>
      </c>
      <c r="Y103" s="7" t="s">
        <v>859</v>
      </c>
      <c r="Z103" s="7" t="s">
        <v>869</v>
      </c>
      <c r="AA103" s="7" t="s">
        <v>34</v>
      </c>
      <c r="AB103" s="7" t="s">
        <v>34</v>
      </c>
      <c r="AC103" s="7" t="s">
        <v>34</v>
      </c>
      <c r="AD103" s="7" t="s">
        <v>867</v>
      </c>
      <c r="AE103" s="7" t="s">
        <v>870</v>
      </c>
      <c r="AF103" s="7" t="s">
        <v>866</v>
      </c>
      <c r="AG103" s="7" t="s">
        <v>34</v>
      </c>
    </row>
    <row r="104" spans="1:33" ht="15.75" customHeight="1" x14ac:dyDescent="0.15">
      <c r="A104" s="7">
        <v>2884</v>
      </c>
      <c r="B104" s="7" t="s">
        <v>848</v>
      </c>
      <c r="C104" s="7"/>
      <c r="D104" s="7"/>
      <c r="E104" s="7"/>
      <c r="F104" s="7"/>
      <c r="G104" s="7"/>
      <c r="H104" s="7"/>
      <c r="I104" s="7"/>
      <c r="J104" s="7"/>
      <c r="K104" s="7"/>
      <c r="L104" s="7"/>
      <c r="M104" s="7"/>
      <c r="N104" s="7"/>
      <c r="O104" s="7"/>
      <c r="P104" s="7"/>
      <c r="Q104" s="7"/>
      <c r="R104" s="7"/>
      <c r="S104" s="7"/>
      <c r="T104" s="7"/>
      <c r="U104" s="7"/>
      <c r="V104" s="7" t="s">
        <v>871</v>
      </c>
      <c r="W104" s="7">
        <v>41</v>
      </c>
      <c r="X104" s="7" t="s">
        <v>872</v>
      </c>
      <c r="Y104" s="7" t="s">
        <v>873</v>
      </c>
      <c r="Z104" s="7" t="s">
        <v>874</v>
      </c>
      <c r="AA104" s="7" t="s">
        <v>34</v>
      </c>
      <c r="AB104" s="7" t="s">
        <v>34</v>
      </c>
      <c r="AC104" s="7" t="s">
        <v>34</v>
      </c>
      <c r="AD104" s="7" t="s">
        <v>871</v>
      </c>
      <c r="AE104" s="7" t="s">
        <v>875</v>
      </c>
      <c r="AF104" s="7" t="s">
        <v>866</v>
      </c>
      <c r="AG104" s="7" t="s">
        <v>34</v>
      </c>
    </row>
    <row r="105" spans="1:33" ht="15.75" customHeight="1" x14ac:dyDescent="0.15">
      <c r="A105" s="7">
        <v>2884</v>
      </c>
      <c r="B105" s="7" t="s">
        <v>848</v>
      </c>
      <c r="C105" s="7"/>
      <c r="D105" s="7"/>
      <c r="E105" s="7"/>
      <c r="F105" s="7"/>
      <c r="G105" s="7"/>
      <c r="H105" s="7"/>
      <c r="I105" s="7"/>
      <c r="J105" s="7"/>
      <c r="K105" s="7"/>
      <c r="L105" s="7"/>
      <c r="M105" s="7"/>
      <c r="N105" s="7"/>
      <c r="O105" s="7"/>
      <c r="P105" s="7"/>
      <c r="Q105" s="7"/>
      <c r="R105" s="7"/>
      <c r="S105" s="7"/>
      <c r="T105" s="7"/>
      <c r="U105" s="7"/>
      <c r="V105" s="7" t="s">
        <v>876</v>
      </c>
      <c r="W105" s="7">
        <v>50</v>
      </c>
      <c r="X105" s="7" t="s">
        <v>877</v>
      </c>
      <c r="Y105" s="7" t="s">
        <v>859</v>
      </c>
      <c r="Z105" s="7" t="s">
        <v>878</v>
      </c>
      <c r="AA105" s="7" t="s">
        <v>34</v>
      </c>
      <c r="AB105" s="7" t="s">
        <v>34</v>
      </c>
      <c r="AC105" s="7" t="s">
        <v>34</v>
      </c>
      <c r="AD105" s="7" t="s">
        <v>876</v>
      </c>
      <c r="AE105" s="7" t="s">
        <v>879</v>
      </c>
      <c r="AF105" s="7" t="s">
        <v>866</v>
      </c>
      <c r="AG105" s="7" t="s">
        <v>34</v>
      </c>
    </row>
    <row r="106" spans="1:33" ht="15.75" customHeight="1" x14ac:dyDescent="0.15">
      <c r="A106" s="6">
        <v>1868</v>
      </c>
      <c r="B106" s="6" t="s">
        <v>880</v>
      </c>
      <c r="C106" s="7" t="s">
        <v>32</v>
      </c>
      <c r="D106" s="7" t="s">
        <v>33</v>
      </c>
      <c r="E106" s="6" t="s">
        <v>881</v>
      </c>
      <c r="F106" s="6" t="s">
        <v>882</v>
      </c>
      <c r="G106" s="6" t="s">
        <v>883</v>
      </c>
      <c r="H106" s="6" t="s">
        <v>408</v>
      </c>
      <c r="I106" s="6" t="s">
        <v>884</v>
      </c>
      <c r="J106" s="6" t="s">
        <v>885</v>
      </c>
      <c r="K106" s="7" t="s">
        <v>886</v>
      </c>
      <c r="L106" s="6" t="s">
        <v>887</v>
      </c>
      <c r="M106" s="6" t="s">
        <v>888</v>
      </c>
      <c r="N106" s="6" t="s">
        <v>889</v>
      </c>
      <c r="O106" s="6" t="s">
        <v>890</v>
      </c>
      <c r="P106" s="6" t="s">
        <v>34</v>
      </c>
      <c r="Q106" s="6" t="s">
        <v>34</v>
      </c>
      <c r="R106" s="6" t="s">
        <v>34</v>
      </c>
      <c r="S106" s="6" t="s">
        <v>34</v>
      </c>
      <c r="T106" s="6" t="s">
        <v>34</v>
      </c>
      <c r="U106" s="6" t="s">
        <v>34</v>
      </c>
      <c r="V106" s="6" t="s">
        <v>33</v>
      </c>
      <c r="W106" s="6">
        <v>77</v>
      </c>
      <c r="X106" s="6" t="s">
        <v>891</v>
      </c>
      <c r="Y106" s="6" t="s">
        <v>892</v>
      </c>
      <c r="Z106" s="6" t="s">
        <v>34</v>
      </c>
      <c r="AA106" s="6" t="s">
        <v>34</v>
      </c>
      <c r="AB106" s="6" t="s">
        <v>34</v>
      </c>
      <c r="AC106" s="6" t="s">
        <v>34</v>
      </c>
      <c r="AD106" s="6" t="s">
        <v>33</v>
      </c>
      <c r="AE106" s="6" t="s">
        <v>893</v>
      </c>
      <c r="AF106" s="6" t="s">
        <v>892</v>
      </c>
      <c r="AG106" s="6" t="s">
        <v>894</v>
      </c>
    </row>
    <row r="107" spans="1:33" ht="15.75" customHeight="1" x14ac:dyDescent="0.15">
      <c r="A107" s="6">
        <v>1868</v>
      </c>
      <c r="B107" s="6" t="s">
        <v>880</v>
      </c>
      <c r="C107" s="7"/>
      <c r="D107" s="7"/>
      <c r="E107" s="7"/>
      <c r="F107" s="7"/>
      <c r="G107" s="7"/>
      <c r="H107" s="7"/>
      <c r="I107" s="7"/>
      <c r="J107" s="7"/>
      <c r="K107" s="7"/>
      <c r="L107" s="7"/>
      <c r="M107" s="7"/>
      <c r="N107" s="7"/>
      <c r="O107" s="7"/>
      <c r="P107" s="7"/>
      <c r="Q107" s="7"/>
      <c r="R107" s="7"/>
      <c r="S107" s="7"/>
      <c r="T107" s="7"/>
      <c r="U107" s="7"/>
      <c r="V107" s="6" t="s">
        <v>46</v>
      </c>
      <c r="W107" s="6">
        <v>25</v>
      </c>
      <c r="X107" s="6" t="s">
        <v>895</v>
      </c>
      <c r="Y107" s="6" t="s">
        <v>55</v>
      </c>
      <c r="Z107" s="6" t="s">
        <v>34</v>
      </c>
      <c r="AA107" s="6" t="s">
        <v>34</v>
      </c>
      <c r="AB107" s="6" t="s">
        <v>34</v>
      </c>
      <c r="AC107" s="6" t="s">
        <v>34</v>
      </c>
      <c r="AD107" s="6" t="s">
        <v>46</v>
      </c>
      <c r="AE107" s="6" t="s">
        <v>55</v>
      </c>
      <c r="AF107" s="6" t="s">
        <v>55</v>
      </c>
      <c r="AG107" s="7"/>
    </row>
    <row r="108" spans="1:33" ht="116.25" customHeight="1" x14ac:dyDescent="0.15">
      <c r="A108" s="6">
        <v>417</v>
      </c>
      <c r="B108" s="6" t="s">
        <v>896</v>
      </c>
      <c r="C108" s="7" t="s">
        <v>32</v>
      </c>
      <c r="D108" s="7" t="s">
        <v>33</v>
      </c>
      <c r="E108" s="6" t="s">
        <v>34</v>
      </c>
      <c r="F108" s="6" t="s">
        <v>897</v>
      </c>
      <c r="G108" s="6" t="s">
        <v>898</v>
      </c>
      <c r="H108" s="6" t="s">
        <v>34</v>
      </c>
      <c r="I108" s="6" t="s">
        <v>899</v>
      </c>
      <c r="J108" s="6" t="s">
        <v>68</v>
      </c>
      <c r="K108" s="6" t="s">
        <v>900</v>
      </c>
      <c r="L108" s="6" t="s">
        <v>34</v>
      </c>
      <c r="M108" s="6" t="s">
        <v>34</v>
      </c>
      <c r="N108" s="6" t="s">
        <v>901</v>
      </c>
      <c r="O108" s="6">
        <v>1759</v>
      </c>
      <c r="P108" s="6" t="s">
        <v>34</v>
      </c>
      <c r="Q108" s="6" t="s">
        <v>902</v>
      </c>
      <c r="R108" s="6" t="s">
        <v>34</v>
      </c>
      <c r="S108" s="6" t="s">
        <v>34</v>
      </c>
      <c r="T108" s="6" t="s">
        <v>34</v>
      </c>
      <c r="U108" s="6" t="s">
        <v>34</v>
      </c>
      <c r="V108" s="6" t="s">
        <v>60</v>
      </c>
      <c r="W108" s="6">
        <v>1109</v>
      </c>
      <c r="X108" s="6" t="s">
        <v>903</v>
      </c>
      <c r="Y108" s="6" t="s">
        <v>904</v>
      </c>
      <c r="Z108" s="7"/>
      <c r="AA108" s="6" t="s">
        <v>34</v>
      </c>
      <c r="AB108" s="9" t="s">
        <v>905</v>
      </c>
      <c r="AC108" s="6" t="s">
        <v>906</v>
      </c>
      <c r="AD108" s="6" t="s">
        <v>60</v>
      </c>
      <c r="AE108" s="6" t="s">
        <v>907</v>
      </c>
      <c r="AF108" s="6" t="s">
        <v>55</v>
      </c>
      <c r="AG108" s="6" t="s">
        <v>908</v>
      </c>
    </row>
    <row r="109" spans="1:33" ht="84" customHeight="1" x14ac:dyDescent="0.15">
      <c r="A109" s="6">
        <v>417</v>
      </c>
      <c r="B109" s="6" t="s">
        <v>896</v>
      </c>
      <c r="C109" s="7"/>
      <c r="D109" s="7"/>
      <c r="E109" s="7"/>
      <c r="F109" s="7"/>
      <c r="G109" s="7"/>
      <c r="H109" s="7"/>
      <c r="I109" s="7"/>
      <c r="J109" s="7"/>
      <c r="K109" s="7"/>
      <c r="L109" s="7"/>
      <c r="M109" s="7"/>
      <c r="N109" s="7"/>
      <c r="O109" s="7"/>
      <c r="P109" s="7"/>
      <c r="Q109" s="7"/>
      <c r="R109" s="7"/>
      <c r="S109" s="7"/>
      <c r="T109" s="7"/>
      <c r="U109" s="7"/>
      <c r="V109" s="6" t="s">
        <v>62</v>
      </c>
      <c r="W109" s="6">
        <v>650</v>
      </c>
      <c r="X109" s="6" t="s">
        <v>909</v>
      </c>
      <c r="Y109" s="6" t="s">
        <v>34</v>
      </c>
      <c r="Z109" s="7"/>
      <c r="AA109" s="6" t="s">
        <v>34</v>
      </c>
      <c r="AB109" s="9" t="s">
        <v>910</v>
      </c>
      <c r="AC109" s="6" t="s">
        <v>911</v>
      </c>
      <c r="AD109" s="6" t="s">
        <v>62</v>
      </c>
      <c r="AE109" s="6" t="s">
        <v>912</v>
      </c>
      <c r="AF109" s="6" t="s">
        <v>55</v>
      </c>
      <c r="AG109" s="6" t="s">
        <v>913</v>
      </c>
    </row>
    <row r="110" spans="1:33" ht="15.75" customHeight="1" x14ac:dyDescent="0.15">
      <c r="A110" s="6">
        <v>13353</v>
      </c>
      <c r="B110" s="6" t="s">
        <v>914</v>
      </c>
      <c r="C110" s="6" t="s">
        <v>849</v>
      </c>
      <c r="D110" s="6" t="s">
        <v>33</v>
      </c>
      <c r="E110" s="6" t="s">
        <v>422</v>
      </c>
      <c r="F110" s="6" t="s">
        <v>915</v>
      </c>
      <c r="G110" s="6" t="s">
        <v>916</v>
      </c>
      <c r="H110" s="6" t="s">
        <v>55</v>
      </c>
      <c r="I110" s="7" t="s">
        <v>917</v>
      </c>
      <c r="J110" s="6" t="s">
        <v>918</v>
      </c>
      <c r="K110" s="6" t="s">
        <v>280</v>
      </c>
      <c r="L110" s="6" t="s">
        <v>919</v>
      </c>
      <c r="M110" s="6" t="s">
        <v>34</v>
      </c>
      <c r="N110" s="6" t="s">
        <v>920</v>
      </c>
      <c r="O110" s="6" t="s">
        <v>921</v>
      </c>
      <c r="P110" s="6" t="s">
        <v>922</v>
      </c>
      <c r="Q110" s="6" t="s">
        <v>34</v>
      </c>
      <c r="R110" s="6" t="s">
        <v>923</v>
      </c>
      <c r="S110" s="6" t="s">
        <v>924</v>
      </c>
      <c r="T110" s="6" t="s">
        <v>34</v>
      </c>
      <c r="U110" s="6" t="s">
        <v>34</v>
      </c>
      <c r="V110" s="6" t="s">
        <v>925</v>
      </c>
      <c r="W110" s="6">
        <v>326</v>
      </c>
      <c r="X110" s="6" t="s">
        <v>34</v>
      </c>
      <c r="Y110" s="6" t="s">
        <v>926</v>
      </c>
      <c r="Z110" s="6" t="s">
        <v>34</v>
      </c>
      <c r="AA110" s="6" t="s">
        <v>34</v>
      </c>
      <c r="AB110" s="6" t="s">
        <v>34</v>
      </c>
      <c r="AC110" s="6" t="s">
        <v>34</v>
      </c>
      <c r="AD110" s="6" t="s">
        <v>925</v>
      </c>
      <c r="AE110" s="6" t="s">
        <v>927</v>
      </c>
      <c r="AF110" s="6" t="s">
        <v>34</v>
      </c>
      <c r="AG110" s="6" t="s">
        <v>928</v>
      </c>
    </row>
    <row r="111" spans="1:33" ht="15.75" customHeight="1" x14ac:dyDescent="0.15">
      <c r="A111" s="6">
        <v>13353</v>
      </c>
      <c r="B111" s="6" t="s">
        <v>914</v>
      </c>
      <c r="C111" s="7"/>
      <c r="D111" s="7"/>
      <c r="E111" s="7"/>
      <c r="F111" s="7"/>
      <c r="G111" s="7"/>
      <c r="H111" s="7"/>
      <c r="I111" s="7"/>
      <c r="J111" s="7"/>
      <c r="K111" s="7"/>
      <c r="L111" s="7"/>
      <c r="M111" s="7"/>
      <c r="N111" s="7"/>
      <c r="O111" s="7"/>
      <c r="P111" s="7"/>
      <c r="Q111" s="7"/>
      <c r="R111" s="7"/>
      <c r="S111" s="7"/>
      <c r="T111" s="7"/>
      <c r="U111" s="7"/>
      <c r="V111" s="6" t="s">
        <v>929</v>
      </c>
      <c r="W111" s="6">
        <v>467</v>
      </c>
      <c r="X111" s="6" t="s">
        <v>34</v>
      </c>
      <c r="Y111" s="6" t="s">
        <v>930</v>
      </c>
      <c r="Z111" s="6" t="s">
        <v>34</v>
      </c>
      <c r="AA111" s="6" t="s">
        <v>34</v>
      </c>
      <c r="AB111" s="6" t="s">
        <v>34</v>
      </c>
      <c r="AC111" s="6" t="s">
        <v>34</v>
      </c>
      <c r="AD111" s="6" t="s">
        <v>929</v>
      </c>
      <c r="AE111" s="6" t="s">
        <v>931</v>
      </c>
      <c r="AF111" s="6" t="s">
        <v>34</v>
      </c>
      <c r="AG111" s="6" t="s">
        <v>928</v>
      </c>
    </row>
    <row r="112" spans="1:33" ht="15.75" customHeight="1" x14ac:dyDescent="0.15">
      <c r="A112" s="7">
        <v>997</v>
      </c>
      <c r="B112" s="7" t="s">
        <v>932</v>
      </c>
      <c r="C112" s="7" t="s">
        <v>32</v>
      </c>
      <c r="D112" s="7" t="s">
        <v>33</v>
      </c>
      <c r="E112" s="7" t="s">
        <v>34</v>
      </c>
      <c r="F112" s="7" t="s">
        <v>933</v>
      </c>
      <c r="G112" s="7" t="s">
        <v>934</v>
      </c>
      <c r="H112" s="7" t="s">
        <v>34</v>
      </c>
      <c r="I112" s="7" t="s">
        <v>935</v>
      </c>
      <c r="J112" s="7" t="s">
        <v>68</v>
      </c>
      <c r="K112" s="7" t="s">
        <v>936</v>
      </c>
      <c r="L112" s="7" t="s">
        <v>34</v>
      </c>
      <c r="M112" s="7" t="s">
        <v>937</v>
      </c>
      <c r="N112" s="7" t="s">
        <v>938</v>
      </c>
      <c r="O112" s="7" t="s">
        <v>939</v>
      </c>
      <c r="P112" s="6" t="s">
        <v>940</v>
      </c>
      <c r="Q112" s="6" t="s">
        <v>34</v>
      </c>
      <c r="R112" s="6" t="s">
        <v>941</v>
      </c>
      <c r="S112" s="6" t="s">
        <v>942</v>
      </c>
      <c r="T112" s="6" t="s">
        <v>34</v>
      </c>
      <c r="U112" s="6" t="s">
        <v>943</v>
      </c>
      <c r="V112" s="7" t="s">
        <v>33</v>
      </c>
      <c r="W112" s="8">
        <v>45008</v>
      </c>
      <c r="X112" s="7" t="s">
        <v>944</v>
      </c>
      <c r="Y112" s="7" t="s">
        <v>34</v>
      </c>
      <c r="Z112" s="6" t="s">
        <v>945</v>
      </c>
      <c r="AA112" s="7" t="s">
        <v>946</v>
      </c>
      <c r="AB112" s="7" t="s">
        <v>34</v>
      </c>
      <c r="AC112" s="7" t="s">
        <v>947</v>
      </c>
      <c r="AD112" s="6" t="s">
        <v>33</v>
      </c>
      <c r="AE112" s="7" t="s">
        <v>948</v>
      </c>
      <c r="AF112" s="7" t="s">
        <v>55</v>
      </c>
      <c r="AG112" s="7" t="s">
        <v>949</v>
      </c>
    </row>
    <row r="113" spans="1:33" ht="15.75" customHeight="1" x14ac:dyDescent="0.15">
      <c r="A113" s="7">
        <v>997</v>
      </c>
      <c r="B113" s="7" t="s">
        <v>932</v>
      </c>
      <c r="C113" s="7"/>
      <c r="D113" s="7"/>
      <c r="E113" s="7"/>
      <c r="F113" s="7"/>
      <c r="G113" s="7"/>
      <c r="H113" s="7"/>
      <c r="I113" s="7"/>
      <c r="J113" s="7"/>
      <c r="K113" s="7"/>
      <c r="L113" s="7"/>
      <c r="M113" s="7"/>
      <c r="N113" s="7"/>
      <c r="O113" s="7"/>
      <c r="P113" s="7"/>
      <c r="Q113" s="7"/>
      <c r="R113" s="7"/>
      <c r="S113" s="7"/>
      <c r="T113" s="7"/>
      <c r="U113" s="7"/>
      <c r="V113" s="7" t="s">
        <v>46</v>
      </c>
      <c r="W113" s="8">
        <v>152556</v>
      </c>
      <c r="X113" s="7" t="s">
        <v>950</v>
      </c>
      <c r="Y113" s="7" t="s">
        <v>34</v>
      </c>
      <c r="Z113" s="6" t="s">
        <v>951</v>
      </c>
      <c r="AA113" s="7" t="s">
        <v>952</v>
      </c>
      <c r="AB113" s="7" t="s">
        <v>34</v>
      </c>
      <c r="AC113" s="7" t="s">
        <v>953</v>
      </c>
      <c r="AD113" s="6" t="s">
        <v>46</v>
      </c>
      <c r="AE113" s="7" t="s">
        <v>954</v>
      </c>
      <c r="AF113" s="7" t="s">
        <v>55</v>
      </c>
      <c r="AG113" s="7" t="s">
        <v>955</v>
      </c>
    </row>
    <row r="114" spans="1:33" ht="69" customHeight="1" x14ac:dyDescent="0.15">
      <c r="A114" s="6">
        <v>2785</v>
      </c>
      <c r="B114" s="6" t="s">
        <v>956</v>
      </c>
      <c r="C114" s="7" t="s">
        <v>32</v>
      </c>
      <c r="D114" s="7" t="s">
        <v>33</v>
      </c>
      <c r="E114" s="6" t="s">
        <v>34</v>
      </c>
      <c r="F114" s="6" t="s">
        <v>957</v>
      </c>
      <c r="G114" s="6" t="s">
        <v>958</v>
      </c>
      <c r="H114" s="6" t="s">
        <v>959</v>
      </c>
      <c r="I114" s="6" t="s">
        <v>34</v>
      </c>
      <c r="J114" s="6" t="s">
        <v>960</v>
      </c>
      <c r="K114" s="6" t="s">
        <v>961</v>
      </c>
      <c r="L114" s="6" t="s">
        <v>962</v>
      </c>
      <c r="M114" s="6" t="s">
        <v>34</v>
      </c>
      <c r="N114" s="6" t="s">
        <v>963</v>
      </c>
      <c r="O114" s="6" t="s">
        <v>964</v>
      </c>
      <c r="P114" s="6" t="s">
        <v>34</v>
      </c>
      <c r="Q114" s="6" t="s">
        <v>34</v>
      </c>
      <c r="R114" s="6" t="s">
        <v>34</v>
      </c>
      <c r="S114" s="6" t="s">
        <v>34</v>
      </c>
      <c r="T114" s="6" t="s">
        <v>34</v>
      </c>
      <c r="U114" s="6" t="s">
        <v>34</v>
      </c>
      <c r="V114" s="6" t="s">
        <v>33</v>
      </c>
      <c r="W114" s="9" t="s">
        <v>965</v>
      </c>
      <c r="X114" s="6" t="s">
        <v>966</v>
      </c>
      <c r="Y114" s="6" t="s">
        <v>967</v>
      </c>
      <c r="Z114" s="6" t="s">
        <v>968</v>
      </c>
      <c r="AA114" s="6" t="s">
        <v>34</v>
      </c>
      <c r="AB114" s="6" t="s">
        <v>969</v>
      </c>
      <c r="AC114" s="6" t="s">
        <v>34</v>
      </c>
      <c r="AD114" s="6" t="s">
        <v>33</v>
      </c>
      <c r="AE114" s="6" t="s">
        <v>970</v>
      </c>
      <c r="AF114" s="6" t="s">
        <v>34</v>
      </c>
      <c r="AG114" s="6" t="s">
        <v>34</v>
      </c>
    </row>
    <row r="115" spans="1:33" ht="15.75" customHeight="1" x14ac:dyDescent="0.15">
      <c r="A115" s="6">
        <v>2785</v>
      </c>
      <c r="B115" s="6" t="s">
        <v>956</v>
      </c>
      <c r="C115" s="7"/>
      <c r="D115" s="7"/>
      <c r="E115" s="7"/>
      <c r="F115" s="7"/>
      <c r="G115" s="7"/>
      <c r="H115" s="7"/>
      <c r="I115" s="7"/>
      <c r="J115" s="7"/>
      <c r="K115" s="7"/>
      <c r="L115" s="7"/>
      <c r="M115" s="7"/>
      <c r="N115" s="7"/>
      <c r="O115" s="7"/>
      <c r="P115" s="7"/>
      <c r="Q115" s="7"/>
      <c r="R115" s="7"/>
      <c r="S115" s="7"/>
      <c r="T115" s="7"/>
      <c r="U115" s="7"/>
      <c r="V115" s="6" t="s">
        <v>46</v>
      </c>
      <c r="W115" s="9" t="s">
        <v>971</v>
      </c>
      <c r="X115" s="6" t="s">
        <v>972</v>
      </c>
      <c r="Y115" s="6" t="s">
        <v>967</v>
      </c>
      <c r="Z115" s="6" t="s">
        <v>973</v>
      </c>
      <c r="AA115" s="6" t="s">
        <v>34</v>
      </c>
      <c r="AB115" s="6" t="s">
        <v>974</v>
      </c>
      <c r="AC115" s="6" t="s">
        <v>34</v>
      </c>
      <c r="AD115" s="6" t="s">
        <v>46</v>
      </c>
      <c r="AE115" s="6" t="s">
        <v>975</v>
      </c>
      <c r="AF115" s="6" t="s">
        <v>34</v>
      </c>
      <c r="AG115" s="6" t="s">
        <v>34</v>
      </c>
    </row>
    <row r="116" spans="1:33" ht="15.75" customHeight="1" x14ac:dyDescent="0.15">
      <c r="A116" s="6">
        <v>1778</v>
      </c>
      <c r="B116" s="6" t="s">
        <v>976</v>
      </c>
      <c r="C116" s="7" t="s">
        <v>32</v>
      </c>
      <c r="D116" s="7" t="s">
        <v>33</v>
      </c>
      <c r="E116" s="6" t="s">
        <v>422</v>
      </c>
      <c r="F116" s="6" t="s">
        <v>977</v>
      </c>
      <c r="G116" s="6" t="s">
        <v>978</v>
      </c>
      <c r="H116" s="6" t="s">
        <v>55</v>
      </c>
      <c r="I116" s="7" t="s">
        <v>979</v>
      </c>
      <c r="J116" s="6" t="s">
        <v>253</v>
      </c>
      <c r="K116" s="6" t="s">
        <v>980</v>
      </c>
      <c r="L116" s="6" t="s">
        <v>34</v>
      </c>
      <c r="M116" s="6" t="s">
        <v>981</v>
      </c>
      <c r="N116" s="6" t="s">
        <v>982</v>
      </c>
      <c r="O116" s="6">
        <v>781</v>
      </c>
      <c r="P116" s="6">
        <v>32.5</v>
      </c>
      <c r="Q116" s="6" t="s">
        <v>983</v>
      </c>
      <c r="R116" s="6" t="s">
        <v>34</v>
      </c>
      <c r="S116" s="6" t="s">
        <v>34</v>
      </c>
      <c r="T116" s="6" t="s">
        <v>984</v>
      </c>
      <c r="U116" s="6" t="s">
        <v>34</v>
      </c>
      <c r="V116" s="6" t="s">
        <v>60</v>
      </c>
      <c r="W116" s="6">
        <v>723</v>
      </c>
      <c r="X116" s="6" t="s">
        <v>985</v>
      </c>
      <c r="Y116" s="6" t="s">
        <v>986</v>
      </c>
      <c r="Z116" s="6" t="s">
        <v>34</v>
      </c>
      <c r="AA116" s="6" t="s">
        <v>34</v>
      </c>
      <c r="AB116" s="6" t="s">
        <v>984</v>
      </c>
      <c r="AC116" s="6" t="s">
        <v>34</v>
      </c>
      <c r="AD116" s="6" t="s">
        <v>60</v>
      </c>
      <c r="AE116" s="6" t="s">
        <v>987</v>
      </c>
      <c r="AF116" s="6" t="s">
        <v>986</v>
      </c>
      <c r="AG116" s="6" t="s">
        <v>34</v>
      </c>
    </row>
    <row r="117" spans="1:33" ht="15.75" customHeight="1" x14ac:dyDescent="0.15">
      <c r="A117" s="6">
        <v>1778</v>
      </c>
      <c r="B117" s="6" t="s">
        <v>976</v>
      </c>
      <c r="C117" s="7"/>
      <c r="D117" s="7"/>
      <c r="E117" s="7"/>
      <c r="F117" s="7"/>
      <c r="G117" s="7"/>
      <c r="H117" s="7"/>
      <c r="I117" s="7"/>
      <c r="J117" s="7"/>
      <c r="K117" s="7"/>
      <c r="L117" s="7"/>
      <c r="M117" s="7"/>
      <c r="N117" s="7"/>
      <c r="O117" s="7"/>
      <c r="P117" s="7"/>
      <c r="Q117" s="6" t="s">
        <v>988</v>
      </c>
      <c r="R117" s="7"/>
      <c r="S117" s="7"/>
      <c r="T117" s="6" t="s">
        <v>34</v>
      </c>
      <c r="U117" s="6" t="s">
        <v>34</v>
      </c>
      <c r="V117" s="6" t="s">
        <v>60</v>
      </c>
      <c r="W117" s="6">
        <v>58</v>
      </c>
      <c r="X117" s="6" t="s">
        <v>989</v>
      </c>
      <c r="Y117" s="6" t="s">
        <v>990</v>
      </c>
      <c r="Z117" s="6" t="s">
        <v>34</v>
      </c>
      <c r="AA117" s="6" t="s">
        <v>34</v>
      </c>
      <c r="AB117" s="6" t="s">
        <v>34</v>
      </c>
      <c r="AC117" s="6" t="s">
        <v>34</v>
      </c>
      <c r="AD117" s="6" t="s">
        <v>60</v>
      </c>
      <c r="AE117" s="6" t="s">
        <v>991</v>
      </c>
      <c r="AF117" s="6" t="s">
        <v>990</v>
      </c>
      <c r="AG117" s="6" t="s">
        <v>34</v>
      </c>
    </row>
    <row r="118" spans="1:33" ht="15.75" customHeight="1" x14ac:dyDescent="0.15">
      <c r="A118" s="6">
        <v>1778</v>
      </c>
      <c r="B118" s="6" t="s">
        <v>976</v>
      </c>
      <c r="C118" s="7"/>
      <c r="D118" s="7"/>
      <c r="E118" s="7"/>
      <c r="F118" s="7"/>
      <c r="G118" s="7"/>
      <c r="H118" s="7"/>
      <c r="I118" s="7"/>
      <c r="J118" s="7"/>
      <c r="K118" s="7"/>
      <c r="L118" s="7"/>
      <c r="M118" s="7"/>
      <c r="N118" s="7"/>
      <c r="O118" s="7"/>
      <c r="P118" s="7"/>
      <c r="Q118" s="7"/>
      <c r="R118" s="7"/>
      <c r="S118" s="7"/>
      <c r="T118" s="7"/>
      <c r="U118" s="7"/>
      <c r="V118" s="6" t="s">
        <v>62</v>
      </c>
      <c r="W118" s="9">
        <v>2424</v>
      </c>
      <c r="X118" s="6" t="s">
        <v>34</v>
      </c>
      <c r="Y118" s="6" t="s">
        <v>34</v>
      </c>
      <c r="Z118" s="6" t="s">
        <v>34</v>
      </c>
      <c r="AA118" s="6" t="s">
        <v>34</v>
      </c>
      <c r="AB118" s="6" t="s">
        <v>34</v>
      </c>
      <c r="AC118" s="6" t="s">
        <v>34</v>
      </c>
      <c r="AD118" s="6" t="s">
        <v>62</v>
      </c>
      <c r="AE118" s="6" t="s">
        <v>992</v>
      </c>
      <c r="AF118" s="6" t="s">
        <v>55</v>
      </c>
      <c r="AG118" s="6" t="s">
        <v>55</v>
      </c>
    </row>
    <row r="119" spans="1:33" ht="15.75" customHeight="1" x14ac:dyDescent="0.15">
      <c r="A119" s="6">
        <v>3146</v>
      </c>
      <c r="B119" s="6" t="s">
        <v>993</v>
      </c>
      <c r="C119" s="7" t="s">
        <v>849</v>
      </c>
      <c r="D119" s="7" t="s">
        <v>33</v>
      </c>
      <c r="E119" s="6" t="s">
        <v>64</v>
      </c>
      <c r="F119" s="6" t="s">
        <v>994</v>
      </c>
      <c r="G119" s="6" t="s">
        <v>995</v>
      </c>
      <c r="H119" s="6" t="s">
        <v>55</v>
      </c>
      <c r="I119" s="6" t="s">
        <v>996</v>
      </c>
      <c r="J119" s="6" t="s">
        <v>997</v>
      </c>
      <c r="K119" s="6" t="s">
        <v>34</v>
      </c>
      <c r="L119" s="6" t="s">
        <v>998</v>
      </c>
      <c r="M119" s="6" t="s">
        <v>999</v>
      </c>
      <c r="N119" s="6" t="s">
        <v>1000</v>
      </c>
      <c r="O119" s="6" t="s">
        <v>1001</v>
      </c>
      <c r="P119" s="6" t="s">
        <v>1002</v>
      </c>
      <c r="Q119" s="6" t="s">
        <v>1003</v>
      </c>
      <c r="R119" s="6" t="s">
        <v>34</v>
      </c>
      <c r="S119" s="6" t="s">
        <v>34</v>
      </c>
      <c r="T119" s="6" t="s">
        <v>1004</v>
      </c>
      <c r="U119" s="6" t="s">
        <v>34</v>
      </c>
      <c r="V119" s="6" t="s">
        <v>33</v>
      </c>
      <c r="W119" s="6">
        <v>211</v>
      </c>
      <c r="X119" s="6" t="s">
        <v>1002</v>
      </c>
      <c r="Y119" s="6" t="s">
        <v>1003</v>
      </c>
      <c r="Z119" s="6" t="s">
        <v>34</v>
      </c>
      <c r="AA119" s="6" t="s">
        <v>34</v>
      </c>
      <c r="AB119" s="6" t="s">
        <v>1004</v>
      </c>
      <c r="AC119" s="6" t="s">
        <v>34</v>
      </c>
      <c r="AD119" s="6" t="s">
        <v>33</v>
      </c>
      <c r="AE119" s="7" t="s">
        <v>1005</v>
      </c>
      <c r="AF119" s="6" t="s">
        <v>55</v>
      </c>
      <c r="AG119" s="6" t="s">
        <v>34</v>
      </c>
    </row>
    <row r="120" spans="1:33" ht="15.75" customHeight="1" x14ac:dyDescent="0.15">
      <c r="A120" s="6">
        <v>3105</v>
      </c>
      <c r="B120" s="6" t="s">
        <v>1006</v>
      </c>
      <c r="C120" s="7" t="s">
        <v>849</v>
      </c>
      <c r="D120" s="7" t="s">
        <v>33</v>
      </c>
      <c r="E120" s="6" t="s">
        <v>615</v>
      </c>
      <c r="F120" s="6" t="s">
        <v>1007</v>
      </c>
      <c r="G120" s="6" t="s">
        <v>1008</v>
      </c>
      <c r="H120" s="6" t="s">
        <v>55</v>
      </c>
      <c r="I120" s="6" t="s">
        <v>34</v>
      </c>
      <c r="J120" s="6" t="s">
        <v>1009</v>
      </c>
      <c r="K120" s="6" t="s">
        <v>1010</v>
      </c>
      <c r="L120" s="6" t="s">
        <v>34</v>
      </c>
      <c r="M120" s="6" t="s">
        <v>55</v>
      </c>
      <c r="N120" s="6" t="s">
        <v>1011</v>
      </c>
      <c r="O120" s="6" t="s">
        <v>1012</v>
      </c>
      <c r="P120" s="6" t="s">
        <v>1013</v>
      </c>
      <c r="Q120" s="6" t="s">
        <v>1014</v>
      </c>
      <c r="R120" s="6" t="s">
        <v>1015</v>
      </c>
      <c r="S120" s="6" t="s">
        <v>1016</v>
      </c>
      <c r="T120" s="6" t="s">
        <v>34</v>
      </c>
      <c r="U120" s="6" t="s">
        <v>34</v>
      </c>
      <c r="V120" s="6" t="s">
        <v>33</v>
      </c>
      <c r="W120" s="6">
        <v>70</v>
      </c>
      <c r="X120" s="6" t="s">
        <v>1013</v>
      </c>
      <c r="Y120" s="6" t="s">
        <v>1014</v>
      </c>
      <c r="Z120" s="6" t="s">
        <v>1015</v>
      </c>
      <c r="AA120" s="6" t="s">
        <v>1016</v>
      </c>
      <c r="AB120" s="6" t="s">
        <v>34</v>
      </c>
      <c r="AC120" s="6" t="s">
        <v>34</v>
      </c>
      <c r="AD120" s="6" t="s">
        <v>33</v>
      </c>
      <c r="AE120" s="6" t="s">
        <v>1017</v>
      </c>
      <c r="AF120" s="6" t="s">
        <v>1018</v>
      </c>
      <c r="AG120" s="6" t="s">
        <v>1019</v>
      </c>
    </row>
    <row r="121" spans="1:33" ht="15.75" customHeight="1" x14ac:dyDescent="0.15">
      <c r="A121" s="7">
        <v>592</v>
      </c>
      <c r="B121" s="7" t="s">
        <v>1020</v>
      </c>
      <c r="C121" s="7" t="s">
        <v>849</v>
      </c>
      <c r="D121" s="7" t="s">
        <v>33</v>
      </c>
      <c r="E121" s="7" t="s">
        <v>1021</v>
      </c>
      <c r="F121" s="7" t="s">
        <v>1022</v>
      </c>
      <c r="G121" s="7" t="s">
        <v>34</v>
      </c>
      <c r="H121" s="7" t="s">
        <v>55</v>
      </c>
      <c r="I121" s="7" t="s">
        <v>1023</v>
      </c>
      <c r="J121" s="7" t="s">
        <v>1024</v>
      </c>
      <c r="K121" s="7" t="s">
        <v>55</v>
      </c>
      <c r="L121" s="7" t="s">
        <v>34</v>
      </c>
      <c r="M121" s="7" t="s">
        <v>55</v>
      </c>
      <c r="N121" s="7" t="s">
        <v>34</v>
      </c>
      <c r="O121" s="7">
        <v>2</v>
      </c>
      <c r="P121" s="7" t="s">
        <v>34</v>
      </c>
      <c r="Q121" s="7" t="s">
        <v>34</v>
      </c>
      <c r="R121" s="7" t="s">
        <v>34</v>
      </c>
      <c r="S121" s="7" t="s">
        <v>34</v>
      </c>
      <c r="T121" s="7" t="s">
        <v>34</v>
      </c>
      <c r="U121" s="7" t="s">
        <v>34</v>
      </c>
      <c r="V121" s="7" t="s">
        <v>1025</v>
      </c>
      <c r="W121" s="7">
        <v>1</v>
      </c>
      <c r="X121" s="7" t="s">
        <v>1026</v>
      </c>
      <c r="Y121" s="7" t="s">
        <v>1027</v>
      </c>
      <c r="Z121" s="7" t="s">
        <v>34</v>
      </c>
      <c r="AA121" s="7" t="s">
        <v>34</v>
      </c>
      <c r="AB121" s="7" t="s">
        <v>34</v>
      </c>
      <c r="AC121" s="7" t="s">
        <v>34</v>
      </c>
      <c r="AD121" s="7" t="s">
        <v>1025</v>
      </c>
      <c r="AE121" s="7" t="s">
        <v>1028</v>
      </c>
      <c r="AF121" s="7" t="s">
        <v>1029</v>
      </c>
      <c r="AG121" s="7" t="s">
        <v>34</v>
      </c>
    </row>
    <row r="122" spans="1:33" ht="15.75" customHeight="1" x14ac:dyDescent="0.15">
      <c r="A122" s="7">
        <v>592</v>
      </c>
      <c r="B122" s="7" t="s">
        <v>1020</v>
      </c>
      <c r="C122" s="7"/>
      <c r="D122" s="7"/>
      <c r="E122" s="7"/>
      <c r="F122" s="7"/>
      <c r="G122" s="7"/>
      <c r="H122" s="7"/>
      <c r="I122" s="7"/>
      <c r="J122" s="7"/>
      <c r="K122" s="7"/>
      <c r="L122" s="7"/>
      <c r="M122" s="7"/>
      <c r="N122" s="7"/>
      <c r="O122" s="7"/>
      <c r="P122" s="7"/>
      <c r="Q122" s="7"/>
      <c r="R122" s="7"/>
      <c r="S122" s="7"/>
      <c r="T122" s="7"/>
      <c r="U122" s="7"/>
      <c r="V122" s="7" t="s">
        <v>1030</v>
      </c>
      <c r="W122" s="7">
        <v>1</v>
      </c>
      <c r="X122" s="7" t="s">
        <v>1026</v>
      </c>
      <c r="Y122" s="7" t="s">
        <v>1031</v>
      </c>
      <c r="Z122" s="7" t="s">
        <v>34</v>
      </c>
      <c r="AA122" s="7" t="s">
        <v>34</v>
      </c>
      <c r="AB122" s="7" t="s">
        <v>34</v>
      </c>
      <c r="AC122" s="7" t="s">
        <v>34</v>
      </c>
      <c r="AD122" s="7" t="s">
        <v>1030</v>
      </c>
      <c r="AE122" s="7" t="s">
        <v>1032</v>
      </c>
      <c r="AF122" s="7" t="s">
        <v>1029</v>
      </c>
      <c r="AG122" s="7" t="s">
        <v>34</v>
      </c>
    </row>
    <row r="123" spans="1:33" ht="15.75" customHeight="1" x14ac:dyDescent="0.15">
      <c r="A123" s="6">
        <v>3923</v>
      </c>
      <c r="B123" s="6" t="s">
        <v>1033</v>
      </c>
      <c r="C123" s="7" t="s">
        <v>849</v>
      </c>
      <c r="D123" s="7" t="s">
        <v>33</v>
      </c>
      <c r="E123" s="6" t="s">
        <v>1034</v>
      </c>
      <c r="F123" s="6" t="s">
        <v>1035</v>
      </c>
      <c r="G123" s="6" t="s">
        <v>1036</v>
      </c>
      <c r="H123" s="6" t="s">
        <v>55</v>
      </c>
      <c r="I123" s="7" t="s">
        <v>1037</v>
      </c>
      <c r="J123" s="6" t="s">
        <v>1038</v>
      </c>
      <c r="K123" s="6" t="s">
        <v>1039</v>
      </c>
      <c r="L123" s="6" t="s">
        <v>34</v>
      </c>
      <c r="M123" s="6" t="s">
        <v>55</v>
      </c>
      <c r="N123" s="6" t="s">
        <v>1040</v>
      </c>
      <c r="O123" s="6" t="s">
        <v>1041</v>
      </c>
      <c r="P123" s="6" t="s">
        <v>34</v>
      </c>
      <c r="Q123" s="6" t="s">
        <v>34</v>
      </c>
      <c r="R123" s="6" t="s">
        <v>34</v>
      </c>
      <c r="S123" s="6" t="s">
        <v>34</v>
      </c>
      <c r="T123" s="6" t="s">
        <v>34</v>
      </c>
      <c r="U123" s="6" t="s">
        <v>34</v>
      </c>
      <c r="V123" s="6" t="s">
        <v>33</v>
      </c>
      <c r="W123" s="9">
        <v>1182</v>
      </c>
      <c r="X123" s="6" t="s">
        <v>55</v>
      </c>
      <c r="Y123" s="6" t="s">
        <v>55</v>
      </c>
      <c r="Z123" s="6" t="s">
        <v>55</v>
      </c>
      <c r="AA123" s="6" t="s">
        <v>55</v>
      </c>
      <c r="AB123" s="6" t="s">
        <v>55</v>
      </c>
      <c r="AC123" s="6" t="s">
        <v>55</v>
      </c>
      <c r="AD123" s="6" t="s">
        <v>33</v>
      </c>
      <c r="AE123" s="6" t="s">
        <v>1042</v>
      </c>
      <c r="AF123" s="6" t="s">
        <v>55</v>
      </c>
      <c r="AG123" s="6" t="s">
        <v>34</v>
      </c>
    </row>
    <row r="124" spans="1:33" ht="15.75" customHeight="1" x14ac:dyDescent="0.15">
      <c r="A124" s="6">
        <v>1283</v>
      </c>
      <c r="B124" s="6" t="s">
        <v>1043</v>
      </c>
      <c r="C124" s="7" t="s">
        <v>849</v>
      </c>
      <c r="D124" s="7" t="s">
        <v>33</v>
      </c>
      <c r="E124" s="6" t="s">
        <v>1044</v>
      </c>
      <c r="F124" s="6" t="s">
        <v>1045</v>
      </c>
      <c r="G124" s="6" t="s">
        <v>1046</v>
      </c>
      <c r="H124" s="6" t="s">
        <v>55</v>
      </c>
      <c r="I124" s="6" t="s">
        <v>1047</v>
      </c>
      <c r="J124" s="6" t="s">
        <v>68</v>
      </c>
      <c r="K124" s="6" t="s">
        <v>1048</v>
      </c>
      <c r="L124" s="6" t="s">
        <v>1049</v>
      </c>
      <c r="M124" s="6" t="s">
        <v>1050</v>
      </c>
      <c r="N124" s="6" t="s">
        <v>1051</v>
      </c>
      <c r="O124" s="6" t="s">
        <v>1052</v>
      </c>
      <c r="P124" s="6" t="s">
        <v>1053</v>
      </c>
      <c r="Q124" s="6" t="s">
        <v>1054</v>
      </c>
      <c r="R124" s="6" t="s">
        <v>1055</v>
      </c>
      <c r="S124" s="6" t="s">
        <v>34</v>
      </c>
      <c r="T124" s="6" t="s">
        <v>34</v>
      </c>
      <c r="U124" s="6" t="s">
        <v>34</v>
      </c>
      <c r="V124" s="6" t="s">
        <v>60</v>
      </c>
      <c r="W124" s="6" t="s">
        <v>55</v>
      </c>
      <c r="X124" s="6" t="s">
        <v>55</v>
      </c>
      <c r="Y124" s="6" t="s">
        <v>55</v>
      </c>
      <c r="Z124" s="6" t="s">
        <v>55</v>
      </c>
      <c r="AA124" s="6" t="s">
        <v>55</v>
      </c>
      <c r="AB124" s="6" t="s">
        <v>55</v>
      </c>
      <c r="AC124" s="6" t="s">
        <v>55</v>
      </c>
      <c r="AD124" s="6" t="s">
        <v>60</v>
      </c>
      <c r="AE124" s="6" t="s">
        <v>1056</v>
      </c>
      <c r="AF124" s="6" t="s">
        <v>34</v>
      </c>
      <c r="AG124" s="6" t="s">
        <v>34</v>
      </c>
    </row>
    <row r="125" spans="1:33" ht="15.75" customHeight="1" x14ac:dyDescent="0.15">
      <c r="A125" s="6">
        <v>762</v>
      </c>
      <c r="B125" s="6" t="s">
        <v>1057</v>
      </c>
      <c r="C125" s="7" t="s">
        <v>849</v>
      </c>
      <c r="D125" s="7" t="s">
        <v>33</v>
      </c>
      <c r="E125" s="6" t="s">
        <v>1058</v>
      </c>
      <c r="F125" s="6" t="s">
        <v>1059</v>
      </c>
      <c r="G125" s="6" t="s">
        <v>1060</v>
      </c>
      <c r="H125" s="6" t="s">
        <v>55</v>
      </c>
      <c r="I125" s="7" t="s">
        <v>1061</v>
      </c>
      <c r="J125" s="6" t="s">
        <v>521</v>
      </c>
      <c r="K125" s="7" t="s">
        <v>1062</v>
      </c>
      <c r="L125" s="6" t="s">
        <v>1063</v>
      </c>
      <c r="M125" s="6" t="s">
        <v>1064</v>
      </c>
      <c r="N125" s="6" t="s">
        <v>1065</v>
      </c>
      <c r="O125" s="6">
        <v>80</v>
      </c>
      <c r="P125" s="6" t="s">
        <v>1066</v>
      </c>
      <c r="Q125" s="6" t="s">
        <v>1067</v>
      </c>
      <c r="R125" s="6" t="s">
        <v>1068</v>
      </c>
      <c r="S125" s="6" t="s">
        <v>1069</v>
      </c>
      <c r="T125" s="7" t="s">
        <v>1070</v>
      </c>
      <c r="U125" s="6" t="s">
        <v>34</v>
      </c>
      <c r="V125" s="6" t="s">
        <v>33</v>
      </c>
      <c r="W125" s="6">
        <v>80</v>
      </c>
      <c r="X125" s="6" t="s">
        <v>1066</v>
      </c>
      <c r="Y125" s="6" t="s">
        <v>1067</v>
      </c>
      <c r="Z125" s="6" t="s">
        <v>1068</v>
      </c>
      <c r="AA125" s="6" t="s">
        <v>1069</v>
      </c>
      <c r="AB125" s="7" t="s">
        <v>1070</v>
      </c>
      <c r="AC125" s="6" t="s">
        <v>34</v>
      </c>
      <c r="AD125" s="6" t="s">
        <v>33</v>
      </c>
      <c r="AE125" s="6" t="s">
        <v>1071</v>
      </c>
      <c r="AF125" s="6" t="s">
        <v>1072</v>
      </c>
      <c r="AG125" s="6" t="s">
        <v>1073</v>
      </c>
    </row>
    <row r="126" spans="1:33" ht="70.5" customHeight="1" x14ac:dyDescent="0.15">
      <c r="A126" s="6">
        <v>2177</v>
      </c>
      <c r="B126" s="6" t="s">
        <v>1074</v>
      </c>
      <c r="C126" s="7" t="s">
        <v>849</v>
      </c>
      <c r="D126" s="7" t="s">
        <v>33</v>
      </c>
      <c r="E126" s="6" t="s">
        <v>64</v>
      </c>
      <c r="F126" s="6" t="s">
        <v>1075</v>
      </c>
      <c r="G126" s="6" t="s">
        <v>1076</v>
      </c>
      <c r="H126" s="6" t="s">
        <v>55</v>
      </c>
      <c r="I126" s="6" t="s">
        <v>1077</v>
      </c>
      <c r="J126" s="6" t="s">
        <v>68</v>
      </c>
      <c r="K126" s="6" t="s">
        <v>1078</v>
      </c>
      <c r="L126" s="6" t="s">
        <v>1079</v>
      </c>
      <c r="M126" s="6" t="s">
        <v>55</v>
      </c>
      <c r="N126" s="6" t="s">
        <v>1080</v>
      </c>
      <c r="O126" s="7" t="s">
        <v>1081</v>
      </c>
      <c r="P126" s="7" t="s">
        <v>34</v>
      </c>
      <c r="Q126" s="7" t="s">
        <v>34</v>
      </c>
      <c r="R126" s="7" t="s">
        <v>34</v>
      </c>
      <c r="S126" s="7" t="s">
        <v>34</v>
      </c>
      <c r="T126" s="7" t="s">
        <v>34</v>
      </c>
      <c r="U126" s="7" t="s">
        <v>34</v>
      </c>
      <c r="V126" s="6" t="s">
        <v>1082</v>
      </c>
      <c r="W126" s="7">
        <v>250</v>
      </c>
      <c r="X126" s="6" t="s">
        <v>1083</v>
      </c>
      <c r="Y126" s="7" t="s">
        <v>34</v>
      </c>
      <c r="Z126" s="7" t="s">
        <v>34</v>
      </c>
      <c r="AA126" s="7" t="s">
        <v>34</v>
      </c>
      <c r="AB126" s="7" t="s">
        <v>34</v>
      </c>
      <c r="AC126" s="7" t="s">
        <v>34</v>
      </c>
      <c r="AD126" s="6" t="s">
        <v>1082</v>
      </c>
      <c r="AE126" s="6" t="s">
        <v>1084</v>
      </c>
      <c r="AF126" s="6" t="s">
        <v>1085</v>
      </c>
      <c r="AG126" s="7"/>
    </row>
    <row r="127" spans="1:33" ht="15.75" customHeight="1" x14ac:dyDescent="0.15">
      <c r="A127" s="6">
        <v>2177</v>
      </c>
      <c r="B127" s="6" t="s">
        <v>1074</v>
      </c>
      <c r="C127" s="7"/>
      <c r="D127" s="7"/>
      <c r="E127" s="7"/>
      <c r="F127" s="7"/>
      <c r="G127" s="7"/>
      <c r="H127" s="7"/>
      <c r="I127" s="7"/>
      <c r="J127" s="7"/>
      <c r="K127" s="7"/>
      <c r="L127" s="7"/>
      <c r="M127" s="7"/>
      <c r="N127" s="7"/>
      <c r="O127" s="7"/>
      <c r="P127" s="7"/>
      <c r="Q127" s="7"/>
      <c r="R127" s="7"/>
      <c r="S127" s="7"/>
      <c r="T127" s="7"/>
      <c r="U127" s="7"/>
      <c r="V127" s="6" t="s">
        <v>1086</v>
      </c>
      <c r="W127" s="7">
        <v>89</v>
      </c>
      <c r="X127" s="7" t="s">
        <v>34</v>
      </c>
      <c r="Y127" s="7" t="s">
        <v>34</v>
      </c>
      <c r="Z127" s="7" t="s">
        <v>34</v>
      </c>
      <c r="AA127" s="7" t="s">
        <v>34</v>
      </c>
      <c r="AB127" s="7" t="s">
        <v>34</v>
      </c>
      <c r="AC127" s="7" t="s">
        <v>34</v>
      </c>
      <c r="AD127" s="6" t="s">
        <v>1086</v>
      </c>
      <c r="AE127" s="6" t="s">
        <v>1087</v>
      </c>
      <c r="AF127" s="6" t="s">
        <v>1088</v>
      </c>
      <c r="AG127" s="6" t="s">
        <v>1089</v>
      </c>
    </row>
    <row r="128" spans="1:33" ht="15.75" customHeight="1" x14ac:dyDescent="0.15">
      <c r="A128" s="6">
        <v>3002</v>
      </c>
      <c r="B128" s="6" t="s">
        <v>1090</v>
      </c>
      <c r="C128" s="7" t="s">
        <v>849</v>
      </c>
      <c r="D128" s="7" t="s">
        <v>33</v>
      </c>
      <c r="E128" s="6" t="s">
        <v>1091</v>
      </c>
      <c r="F128" s="6" t="s">
        <v>1092</v>
      </c>
      <c r="G128" s="6" t="s">
        <v>1093</v>
      </c>
      <c r="H128" s="6" t="s">
        <v>55</v>
      </c>
      <c r="I128" s="7" t="s">
        <v>1094</v>
      </c>
      <c r="J128" s="7" t="s">
        <v>1095</v>
      </c>
      <c r="K128" s="6" t="s">
        <v>1096</v>
      </c>
      <c r="L128" s="6" t="s">
        <v>1097</v>
      </c>
      <c r="M128" s="6" t="s">
        <v>1098</v>
      </c>
      <c r="N128" s="6" t="s">
        <v>1099</v>
      </c>
      <c r="O128" s="6" t="s">
        <v>1100</v>
      </c>
      <c r="P128" s="6" t="s">
        <v>1101</v>
      </c>
      <c r="Q128" s="6" t="s">
        <v>1102</v>
      </c>
      <c r="R128" s="6" t="s">
        <v>1103</v>
      </c>
      <c r="S128" s="6" t="s">
        <v>1104</v>
      </c>
      <c r="T128" s="6" t="s">
        <v>1105</v>
      </c>
      <c r="U128" s="6" t="s">
        <v>34</v>
      </c>
      <c r="V128" s="6" t="s">
        <v>1106</v>
      </c>
      <c r="W128" s="6">
        <v>91</v>
      </c>
      <c r="X128" s="6" t="s">
        <v>1107</v>
      </c>
      <c r="Y128" s="6" t="s">
        <v>1108</v>
      </c>
      <c r="Z128" s="6" t="s">
        <v>1109</v>
      </c>
      <c r="AA128" s="6" t="s">
        <v>1110</v>
      </c>
      <c r="AB128" s="6" t="s">
        <v>1111</v>
      </c>
      <c r="AC128" s="6" t="s">
        <v>34</v>
      </c>
      <c r="AD128" s="6" t="s">
        <v>1106</v>
      </c>
      <c r="AE128" s="6" t="s">
        <v>1112</v>
      </c>
      <c r="AF128" s="6" t="s">
        <v>1113</v>
      </c>
      <c r="AG128" s="6" t="s">
        <v>1114</v>
      </c>
    </row>
    <row r="129" spans="1:33" ht="15.75" customHeight="1" x14ac:dyDescent="0.15">
      <c r="A129" s="6">
        <v>3002</v>
      </c>
      <c r="B129" s="6" t="s">
        <v>1090</v>
      </c>
      <c r="C129" s="7"/>
      <c r="D129" s="7"/>
      <c r="E129" s="7"/>
      <c r="F129" s="7"/>
      <c r="G129" s="7"/>
      <c r="H129" s="7"/>
      <c r="I129" s="7"/>
      <c r="J129" s="7"/>
      <c r="K129" s="7"/>
      <c r="L129" s="7"/>
      <c r="M129" s="7"/>
      <c r="N129" s="7"/>
      <c r="O129" s="7"/>
      <c r="P129" s="7"/>
      <c r="Q129" s="7"/>
      <c r="R129" s="7"/>
      <c r="S129" s="7"/>
      <c r="T129" s="7"/>
      <c r="U129" s="7"/>
      <c r="V129" s="6" t="s">
        <v>1115</v>
      </c>
      <c r="W129" s="6">
        <v>136</v>
      </c>
      <c r="X129" s="6" t="s">
        <v>1116</v>
      </c>
      <c r="Y129" s="6" t="s">
        <v>1117</v>
      </c>
      <c r="Z129" s="6" t="s">
        <v>1118</v>
      </c>
      <c r="AA129" s="6" t="s">
        <v>1119</v>
      </c>
      <c r="AB129" s="6" t="s">
        <v>1120</v>
      </c>
      <c r="AC129" s="6" t="s">
        <v>34</v>
      </c>
      <c r="AD129" s="6" t="s">
        <v>1115</v>
      </c>
      <c r="AE129" s="6" t="s">
        <v>1112</v>
      </c>
      <c r="AF129" s="6" t="s">
        <v>1113</v>
      </c>
      <c r="AG129" s="6" t="s">
        <v>1121</v>
      </c>
    </row>
    <row r="130" spans="1:33" ht="15.75" customHeight="1" x14ac:dyDescent="0.15">
      <c r="A130" s="6">
        <v>3204</v>
      </c>
      <c r="B130" s="6" t="s">
        <v>1122</v>
      </c>
      <c r="C130" s="7" t="s">
        <v>849</v>
      </c>
      <c r="D130" s="7" t="s">
        <v>33</v>
      </c>
      <c r="E130" s="6" t="s">
        <v>34</v>
      </c>
      <c r="F130" s="7" t="s">
        <v>1123</v>
      </c>
      <c r="G130" s="6" t="s">
        <v>1124</v>
      </c>
      <c r="H130" s="6" t="s">
        <v>34</v>
      </c>
      <c r="I130" s="6" t="s">
        <v>1125</v>
      </c>
      <c r="J130" s="6" t="s">
        <v>68</v>
      </c>
      <c r="K130" s="7" t="s">
        <v>1126</v>
      </c>
      <c r="L130" s="6" t="s">
        <v>1127</v>
      </c>
      <c r="M130" s="6" t="s">
        <v>55</v>
      </c>
      <c r="N130" s="6" t="s">
        <v>34</v>
      </c>
      <c r="O130" s="6" t="s">
        <v>1128</v>
      </c>
      <c r="P130" s="6" t="s">
        <v>1129</v>
      </c>
      <c r="Q130" s="6" t="s">
        <v>1130</v>
      </c>
      <c r="R130" s="6" t="s">
        <v>1131</v>
      </c>
      <c r="S130" s="6" t="s">
        <v>34</v>
      </c>
      <c r="T130" s="6" t="s">
        <v>1132</v>
      </c>
      <c r="U130" s="6" t="s">
        <v>34</v>
      </c>
      <c r="V130" s="6" t="s">
        <v>33</v>
      </c>
      <c r="W130" s="6">
        <v>737</v>
      </c>
      <c r="X130" s="6" t="s">
        <v>1129</v>
      </c>
      <c r="Y130" s="6" t="s">
        <v>1130</v>
      </c>
      <c r="Z130" s="6" t="s">
        <v>1131</v>
      </c>
      <c r="AA130" s="6" t="s">
        <v>34</v>
      </c>
      <c r="AB130" s="6" t="s">
        <v>1132</v>
      </c>
      <c r="AC130" s="6" t="s">
        <v>34</v>
      </c>
      <c r="AD130" s="6" t="s">
        <v>33</v>
      </c>
      <c r="AE130" s="6" t="s">
        <v>1133</v>
      </c>
      <c r="AF130" s="6" t="s">
        <v>34</v>
      </c>
      <c r="AG130" s="6" t="s">
        <v>1134</v>
      </c>
    </row>
    <row r="131" spans="1:33" ht="15.75" customHeight="1" x14ac:dyDescent="0.15">
      <c r="A131" s="6">
        <v>2944</v>
      </c>
      <c r="B131" s="6" t="s">
        <v>1135</v>
      </c>
      <c r="C131" s="6" t="s">
        <v>849</v>
      </c>
      <c r="D131" s="6" t="s">
        <v>33</v>
      </c>
      <c r="E131" s="6" t="s">
        <v>1136</v>
      </c>
      <c r="F131" s="6" t="s">
        <v>1137</v>
      </c>
      <c r="G131" s="6" t="s">
        <v>1138</v>
      </c>
      <c r="H131" s="6" t="s">
        <v>55</v>
      </c>
      <c r="I131" s="6" t="s">
        <v>1139</v>
      </c>
      <c r="J131" s="6" t="s">
        <v>1140</v>
      </c>
      <c r="K131" s="6" t="s">
        <v>1141</v>
      </c>
      <c r="L131" s="6" t="s">
        <v>34</v>
      </c>
      <c r="M131" s="6" t="s">
        <v>34</v>
      </c>
      <c r="N131" s="6" t="s">
        <v>1142</v>
      </c>
      <c r="O131" s="6">
        <v>485</v>
      </c>
      <c r="P131" s="6" t="s">
        <v>34</v>
      </c>
      <c r="Q131" s="6" t="s">
        <v>34</v>
      </c>
      <c r="R131" s="6" t="s">
        <v>34</v>
      </c>
      <c r="S131" s="6" t="s">
        <v>34</v>
      </c>
      <c r="T131" s="6" t="s">
        <v>1143</v>
      </c>
      <c r="U131" s="6" t="s">
        <v>34</v>
      </c>
      <c r="V131" s="6" t="s">
        <v>33</v>
      </c>
      <c r="W131" s="6">
        <v>281</v>
      </c>
      <c r="X131" s="6" t="s">
        <v>1144</v>
      </c>
      <c r="Y131" s="6" t="s">
        <v>34</v>
      </c>
      <c r="Z131" s="6" t="s">
        <v>34</v>
      </c>
      <c r="AA131" s="6" t="s">
        <v>34</v>
      </c>
      <c r="AB131" s="6" t="s">
        <v>1145</v>
      </c>
      <c r="AC131" s="6" t="s">
        <v>34</v>
      </c>
      <c r="AD131" s="6" t="s">
        <v>33</v>
      </c>
      <c r="AE131" s="6" t="s">
        <v>1146</v>
      </c>
      <c r="AF131" s="6" t="s">
        <v>34</v>
      </c>
      <c r="AG131" s="6" t="s">
        <v>1147</v>
      </c>
    </row>
    <row r="132" spans="1:33" ht="15.75" customHeight="1" x14ac:dyDescent="0.15">
      <c r="A132" s="6">
        <v>2944</v>
      </c>
      <c r="B132" s="6" t="s">
        <v>1135</v>
      </c>
      <c r="C132" s="7"/>
      <c r="D132" s="7"/>
      <c r="E132" s="7"/>
      <c r="F132" s="7"/>
      <c r="G132" s="7"/>
      <c r="H132" s="7"/>
      <c r="I132" s="7"/>
      <c r="J132" s="7"/>
      <c r="K132" s="7"/>
      <c r="L132" s="7"/>
      <c r="M132" s="7"/>
      <c r="N132" s="7"/>
      <c r="O132" s="7"/>
      <c r="P132" s="7"/>
      <c r="Q132" s="7"/>
      <c r="R132" s="7"/>
      <c r="S132" s="7"/>
      <c r="T132" s="7"/>
      <c r="U132" s="7"/>
      <c r="V132" s="6" t="s">
        <v>376</v>
      </c>
      <c r="W132" s="6">
        <v>204</v>
      </c>
      <c r="X132" s="6" t="s">
        <v>1148</v>
      </c>
      <c r="Y132" s="6" t="s">
        <v>34</v>
      </c>
      <c r="Z132" s="6" t="s">
        <v>34</v>
      </c>
      <c r="AA132" s="6" t="s">
        <v>34</v>
      </c>
      <c r="AB132" s="6" t="s">
        <v>1149</v>
      </c>
      <c r="AC132" s="6" t="s">
        <v>34</v>
      </c>
      <c r="AD132" s="6" t="s">
        <v>376</v>
      </c>
      <c r="AE132" s="6" t="s">
        <v>1150</v>
      </c>
      <c r="AF132" s="6" t="s">
        <v>34</v>
      </c>
      <c r="AG132" s="6" t="s">
        <v>1147</v>
      </c>
    </row>
    <row r="133" spans="1:33" ht="15.75" customHeight="1" x14ac:dyDescent="0.15">
      <c r="A133" s="7">
        <v>11282</v>
      </c>
      <c r="B133" s="7" t="s">
        <v>1151</v>
      </c>
      <c r="C133" s="6" t="s">
        <v>849</v>
      </c>
      <c r="D133" s="6" t="s">
        <v>33</v>
      </c>
      <c r="E133" s="6" t="s">
        <v>34</v>
      </c>
      <c r="F133" s="6" t="s">
        <v>1152</v>
      </c>
      <c r="G133" s="6" t="s">
        <v>1153</v>
      </c>
      <c r="H133" s="6" t="s">
        <v>1154</v>
      </c>
      <c r="I133" s="6" t="s">
        <v>34</v>
      </c>
      <c r="J133" s="6" t="s">
        <v>336</v>
      </c>
      <c r="K133" s="6" t="s">
        <v>1155</v>
      </c>
      <c r="L133" s="6" t="s">
        <v>34</v>
      </c>
      <c r="M133" s="6" t="s">
        <v>55</v>
      </c>
      <c r="N133" s="6" t="s">
        <v>1156</v>
      </c>
      <c r="O133" s="6" t="s">
        <v>1157</v>
      </c>
      <c r="P133" s="6" t="s">
        <v>34</v>
      </c>
      <c r="Q133" s="6" t="s">
        <v>34</v>
      </c>
      <c r="R133" s="6" t="s">
        <v>34</v>
      </c>
      <c r="S133" s="6" t="s">
        <v>34</v>
      </c>
      <c r="T133" s="6" t="s">
        <v>34</v>
      </c>
      <c r="U133" s="6" t="s">
        <v>34</v>
      </c>
      <c r="V133" s="7" t="s">
        <v>33</v>
      </c>
      <c r="W133" s="6">
        <v>25</v>
      </c>
      <c r="X133" s="6" t="s">
        <v>34</v>
      </c>
      <c r="Y133" s="6" t="s">
        <v>34</v>
      </c>
      <c r="Z133" s="6" t="s">
        <v>34</v>
      </c>
      <c r="AA133" s="6" t="s">
        <v>34</v>
      </c>
      <c r="AB133" s="6" t="s">
        <v>34</v>
      </c>
      <c r="AC133" s="6" t="s">
        <v>34</v>
      </c>
      <c r="AD133" s="6" t="s">
        <v>33</v>
      </c>
      <c r="AE133" s="6" t="s">
        <v>1158</v>
      </c>
      <c r="AF133" s="6" t="s">
        <v>34</v>
      </c>
      <c r="AG133" s="6" t="s">
        <v>34</v>
      </c>
    </row>
    <row r="134" spans="1:33" ht="15.75" customHeight="1" x14ac:dyDescent="0.15">
      <c r="A134" s="7">
        <v>11282</v>
      </c>
      <c r="B134" s="7" t="s">
        <v>1151</v>
      </c>
      <c r="C134" s="7"/>
      <c r="D134" s="7"/>
      <c r="E134" s="7"/>
      <c r="F134" s="7"/>
      <c r="G134" s="7"/>
      <c r="H134" s="7"/>
      <c r="I134" s="7"/>
      <c r="J134" s="7"/>
      <c r="K134" s="7"/>
      <c r="L134" s="7"/>
      <c r="M134" s="7"/>
      <c r="N134" s="7"/>
      <c r="O134" s="7"/>
      <c r="P134" s="7"/>
      <c r="Q134" s="7"/>
      <c r="R134" s="7"/>
      <c r="S134" s="7"/>
      <c r="T134" s="7"/>
      <c r="U134" s="7"/>
      <c r="V134" s="7" t="s">
        <v>46</v>
      </c>
      <c r="W134" s="7">
        <v>71</v>
      </c>
      <c r="X134" s="6" t="s">
        <v>34</v>
      </c>
      <c r="Y134" s="6" t="s">
        <v>34</v>
      </c>
      <c r="Z134" s="6" t="s">
        <v>34</v>
      </c>
      <c r="AA134" s="6" t="s">
        <v>34</v>
      </c>
      <c r="AB134" s="6" t="s">
        <v>34</v>
      </c>
      <c r="AC134" s="6" t="s">
        <v>34</v>
      </c>
      <c r="AD134" s="7" t="s">
        <v>46</v>
      </c>
      <c r="AE134" s="7" t="s">
        <v>1159</v>
      </c>
      <c r="AF134" s="7"/>
      <c r="AG134" s="7"/>
    </row>
    <row r="135" spans="1:33" ht="238.5" customHeight="1" x14ac:dyDescent="0.15">
      <c r="A135" s="6">
        <v>2002</v>
      </c>
      <c r="B135" s="6" t="s">
        <v>1160</v>
      </c>
      <c r="C135" s="7" t="s">
        <v>32</v>
      </c>
      <c r="D135" s="7" t="s">
        <v>33</v>
      </c>
      <c r="E135" s="6" t="s">
        <v>34</v>
      </c>
      <c r="F135" s="6" t="s">
        <v>1161</v>
      </c>
      <c r="G135" s="6" t="s">
        <v>1162</v>
      </c>
      <c r="H135" s="6" t="s">
        <v>34</v>
      </c>
      <c r="I135" s="6" t="s">
        <v>1163</v>
      </c>
      <c r="J135" s="6" t="s">
        <v>336</v>
      </c>
      <c r="K135" s="6" t="s">
        <v>1164</v>
      </c>
      <c r="L135" s="6" t="s">
        <v>1165</v>
      </c>
      <c r="M135" s="6" t="s">
        <v>55</v>
      </c>
      <c r="N135" s="6" t="s">
        <v>1166</v>
      </c>
      <c r="O135" s="6">
        <v>16542</v>
      </c>
      <c r="P135" s="6" t="s">
        <v>34</v>
      </c>
      <c r="Q135" s="6" t="s">
        <v>34</v>
      </c>
      <c r="R135" s="6" t="s">
        <v>34</v>
      </c>
      <c r="S135" s="6" t="s">
        <v>34</v>
      </c>
      <c r="T135" s="6" t="s">
        <v>34</v>
      </c>
      <c r="U135" s="6" t="s">
        <v>34</v>
      </c>
      <c r="V135" s="6" t="s">
        <v>33</v>
      </c>
      <c r="W135" s="6">
        <v>909</v>
      </c>
      <c r="X135" s="6" t="s">
        <v>1167</v>
      </c>
      <c r="Y135" s="6" t="s">
        <v>1168</v>
      </c>
      <c r="Z135" s="6" t="s">
        <v>1169</v>
      </c>
      <c r="AA135" s="6" t="s">
        <v>1170</v>
      </c>
      <c r="AB135" s="6" t="s">
        <v>1171</v>
      </c>
      <c r="AC135" s="6" t="s">
        <v>1172</v>
      </c>
      <c r="AD135" s="6" t="s">
        <v>33</v>
      </c>
      <c r="AE135" s="6" t="s">
        <v>1173</v>
      </c>
      <c r="AF135" s="6" t="s">
        <v>55</v>
      </c>
      <c r="AG135" s="7"/>
    </row>
    <row r="136" spans="1:33" ht="15.75" customHeight="1" x14ac:dyDescent="0.15">
      <c r="A136" s="6">
        <v>2002</v>
      </c>
      <c r="B136" s="6" t="s">
        <v>1160</v>
      </c>
      <c r="C136" s="7"/>
      <c r="D136" s="7"/>
      <c r="E136" s="7"/>
      <c r="F136" s="7"/>
      <c r="G136" s="7"/>
      <c r="H136" s="7"/>
      <c r="I136" s="7"/>
      <c r="J136" s="7"/>
      <c r="K136" s="7"/>
      <c r="L136" s="7"/>
      <c r="M136" s="7"/>
      <c r="N136" s="7"/>
      <c r="O136" s="7"/>
      <c r="P136" s="7"/>
      <c r="Q136" s="7"/>
      <c r="R136" s="7"/>
      <c r="S136" s="7"/>
      <c r="T136" s="7"/>
      <c r="U136" s="7"/>
      <c r="V136" s="6" t="s">
        <v>46</v>
      </c>
      <c r="W136" s="6">
        <v>4822</v>
      </c>
      <c r="X136" s="6" t="s">
        <v>1174</v>
      </c>
      <c r="Y136" s="6" t="s">
        <v>55</v>
      </c>
      <c r="Z136" s="6" t="s">
        <v>1175</v>
      </c>
      <c r="AA136" s="6" t="s">
        <v>1176</v>
      </c>
      <c r="AB136" s="6" t="s">
        <v>1177</v>
      </c>
      <c r="AC136" s="6" t="s">
        <v>1178</v>
      </c>
      <c r="AD136" s="6" t="s">
        <v>46</v>
      </c>
      <c r="AE136" s="6" t="s">
        <v>1179</v>
      </c>
      <c r="AF136" s="6" t="s">
        <v>55</v>
      </c>
      <c r="AG136" s="7"/>
    </row>
    <row r="137" spans="1:33" ht="15.75" customHeight="1" x14ac:dyDescent="0.15">
      <c r="A137" s="7">
        <v>3738</v>
      </c>
      <c r="B137" s="7" t="s">
        <v>1180</v>
      </c>
      <c r="C137" s="7" t="s">
        <v>32</v>
      </c>
      <c r="D137" s="7" t="s">
        <v>33</v>
      </c>
      <c r="E137" s="7" t="s">
        <v>34</v>
      </c>
      <c r="F137" s="7" t="s">
        <v>1181</v>
      </c>
      <c r="G137" s="7" t="s">
        <v>1182</v>
      </c>
      <c r="H137" s="7" t="s">
        <v>1183</v>
      </c>
      <c r="I137" s="7" t="s">
        <v>34</v>
      </c>
      <c r="J137" s="7" t="s">
        <v>568</v>
      </c>
      <c r="K137" s="7" t="s">
        <v>1184</v>
      </c>
      <c r="L137" s="7" t="s">
        <v>34</v>
      </c>
      <c r="M137" s="7" t="s">
        <v>34</v>
      </c>
      <c r="N137" s="7" t="s">
        <v>34</v>
      </c>
      <c r="O137" s="7" t="s">
        <v>1185</v>
      </c>
      <c r="P137" s="7" t="s">
        <v>1186</v>
      </c>
      <c r="Q137" s="7" t="s">
        <v>34</v>
      </c>
      <c r="R137" s="7" t="s">
        <v>34</v>
      </c>
      <c r="S137" s="7" t="s">
        <v>34</v>
      </c>
      <c r="T137" s="7" t="s">
        <v>34</v>
      </c>
      <c r="U137" s="7" t="s">
        <v>34</v>
      </c>
      <c r="V137" s="7" t="s">
        <v>33</v>
      </c>
      <c r="W137" s="7">
        <v>2</v>
      </c>
      <c r="X137" s="7" t="s">
        <v>34</v>
      </c>
      <c r="Y137" s="7" t="s">
        <v>1187</v>
      </c>
      <c r="Z137" s="7" t="s">
        <v>34</v>
      </c>
      <c r="AA137" s="7" t="s">
        <v>34</v>
      </c>
      <c r="AB137" s="7" t="s">
        <v>34</v>
      </c>
      <c r="AC137" s="7" t="s">
        <v>34</v>
      </c>
      <c r="AD137" s="6" t="s">
        <v>33</v>
      </c>
      <c r="AE137" s="7" t="s">
        <v>1188</v>
      </c>
      <c r="AF137" s="7" t="s">
        <v>55</v>
      </c>
      <c r="AG137" s="7" t="s">
        <v>34</v>
      </c>
    </row>
    <row r="138" spans="1:33" ht="15.75" customHeight="1" x14ac:dyDescent="0.15">
      <c r="A138" s="7">
        <v>3738</v>
      </c>
      <c r="B138" s="7" t="s">
        <v>1180</v>
      </c>
      <c r="C138" s="7"/>
      <c r="D138" s="7"/>
      <c r="E138" s="7"/>
      <c r="F138" s="7"/>
      <c r="G138" s="7"/>
      <c r="H138" s="7"/>
      <c r="I138" s="7"/>
      <c r="J138" s="7"/>
      <c r="K138" s="7"/>
      <c r="L138" s="7"/>
      <c r="M138" s="7"/>
      <c r="N138" s="7"/>
      <c r="O138" s="7"/>
      <c r="P138" s="7"/>
      <c r="Q138" s="7"/>
      <c r="R138" s="7"/>
      <c r="S138" s="7"/>
      <c r="T138" s="7"/>
      <c r="U138" s="7"/>
      <c r="V138" s="7" t="s">
        <v>46</v>
      </c>
      <c r="W138" s="7">
        <v>6</v>
      </c>
      <c r="X138" s="7" t="s">
        <v>34</v>
      </c>
      <c r="Y138" s="7" t="s">
        <v>55</v>
      </c>
      <c r="Z138" s="7" t="s">
        <v>34</v>
      </c>
      <c r="AA138" s="7" t="s">
        <v>34</v>
      </c>
      <c r="AB138" s="7" t="s">
        <v>34</v>
      </c>
      <c r="AC138" s="7" t="s">
        <v>34</v>
      </c>
      <c r="AD138" s="6" t="s">
        <v>46</v>
      </c>
      <c r="AE138" s="7" t="s">
        <v>1188</v>
      </c>
      <c r="AF138" s="7" t="s">
        <v>55</v>
      </c>
      <c r="AG138" s="7" t="s">
        <v>34</v>
      </c>
    </row>
    <row r="139" spans="1:33" ht="67.5" customHeight="1" x14ac:dyDescent="0.15">
      <c r="A139" s="6">
        <v>4252</v>
      </c>
      <c r="B139" s="6" t="s">
        <v>1189</v>
      </c>
      <c r="C139" s="6" t="s">
        <v>849</v>
      </c>
      <c r="D139" s="6" t="s">
        <v>33</v>
      </c>
      <c r="E139" s="6" t="s">
        <v>1190</v>
      </c>
      <c r="F139" s="6" t="s">
        <v>1191</v>
      </c>
      <c r="G139" s="6" t="s">
        <v>1192</v>
      </c>
      <c r="H139" s="6" t="s">
        <v>55</v>
      </c>
      <c r="I139" s="6" t="s">
        <v>1193</v>
      </c>
      <c r="J139" s="6" t="s">
        <v>521</v>
      </c>
      <c r="K139" s="6" t="s">
        <v>1194</v>
      </c>
      <c r="L139" s="6" t="s">
        <v>1195</v>
      </c>
      <c r="M139" s="6" t="s">
        <v>1196</v>
      </c>
      <c r="N139" s="6" t="s">
        <v>1197</v>
      </c>
      <c r="O139" s="6" t="s">
        <v>1198</v>
      </c>
      <c r="P139" s="6" t="s">
        <v>1199</v>
      </c>
      <c r="Q139" s="6" t="s">
        <v>1200</v>
      </c>
      <c r="R139" s="6" t="s">
        <v>1201</v>
      </c>
      <c r="S139" s="6" t="s">
        <v>34</v>
      </c>
      <c r="T139" s="6" t="s">
        <v>34</v>
      </c>
      <c r="U139" s="6" t="s">
        <v>34</v>
      </c>
      <c r="V139" s="6" t="s">
        <v>33</v>
      </c>
      <c r="W139" s="6" t="s">
        <v>1198</v>
      </c>
      <c r="X139" s="6" t="s">
        <v>1199</v>
      </c>
      <c r="Y139" s="6" t="s">
        <v>1200</v>
      </c>
      <c r="Z139" s="6" t="s">
        <v>1201</v>
      </c>
      <c r="AA139" s="6" t="s">
        <v>34</v>
      </c>
      <c r="AB139" s="6" t="s">
        <v>34</v>
      </c>
      <c r="AC139" s="6" t="s">
        <v>1202</v>
      </c>
      <c r="AD139" s="6" t="s">
        <v>33</v>
      </c>
      <c r="AE139" s="6" t="s">
        <v>1203</v>
      </c>
      <c r="AF139" s="6" t="s">
        <v>1204</v>
      </c>
      <c r="AG139" s="6" t="s">
        <v>34</v>
      </c>
    </row>
    <row r="140" spans="1:33" ht="15.75" customHeight="1" x14ac:dyDescent="0.15">
      <c r="A140" s="6">
        <v>599</v>
      </c>
      <c r="B140" s="6" t="s">
        <v>1205</v>
      </c>
      <c r="C140" s="7" t="s">
        <v>849</v>
      </c>
      <c r="D140" s="7" t="s">
        <v>1206</v>
      </c>
      <c r="E140" s="7" t="s">
        <v>1207</v>
      </c>
      <c r="F140" s="6" t="s">
        <v>1208</v>
      </c>
      <c r="G140" s="6" t="s">
        <v>1209</v>
      </c>
      <c r="H140" s="6" t="s">
        <v>55</v>
      </c>
      <c r="I140" s="6" t="s">
        <v>1210</v>
      </c>
      <c r="J140" s="6" t="s">
        <v>885</v>
      </c>
      <c r="K140" s="6" t="s">
        <v>1211</v>
      </c>
      <c r="L140" s="6" t="s">
        <v>1212</v>
      </c>
      <c r="M140" s="6" t="s">
        <v>1213</v>
      </c>
      <c r="N140" s="6" t="s">
        <v>1214</v>
      </c>
      <c r="O140" s="6" t="s">
        <v>1215</v>
      </c>
      <c r="P140" s="6" t="s">
        <v>34</v>
      </c>
      <c r="Q140" s="6" t="s">
        <v>34</v>
      </c>
      <c r="R140" s="6" t="s">
        <v>34</v>
      </c>
      <c r="S140" s="6" t="s">
        <v>34</v>
      </c>
      <c r="T140" s="6" t="s">
        <v>34</v>
      </c>
      <c r="U140" s="6" t="s">
        <v>34</v>
      </c>
      <c r="V140" s="6" t="s">
        <v>1216</v>
      </c>
      <c r="W140" s="6" t="s">
        <v>1217</v>
      </c>
      <c r="X140" s="6" t="s">
        <v>1218</v>
      </c>
      <c r="Y140" s="6" t="s">
        <v>1219</v>
      </c>
      <c r="Z140" s="6" t="s">
        <v>1220</v>
      </c>
      <c r="AA140" s="6" t="s">
        <v>34</v>
      </c>
      <c r="AB140" s="6" t="s">
        <v>1221</v>
      </c>
      <c r="AC140" s="6" t="s">
        <v>34</v>
      </c>
      <c r="AD140" s="6" t="s">
        <v>1216</v>
      </c>
      <c r="AE140" s="6" t="s">
        <v>1222</v>
      </c>
      <c r="AF140" s="6" t="s">
        <v>1223</v>
      </c>
      <c r="AG140" s="6" t="s">
        <v>34</v>
      </c>
    </row>
    <row r="141" spans="1:33" ht="15.75" customHeight="1" x14ac:dyDescent="0.15">
      <c r="A141" s="6">
        <v>599</v>
      </c>
      <c r="B141" s="6" t="s">
        <v>1205</v>
      </c>
      <c r="C141" s="7"/>
      <c r="D141" s="7"/>
      <c r="E141" s="7"/>
      <c r="F141" s="6"/>
      <c r="G141" s="6"/>
      <c r="H141" s="6"/>
      <c r="I141" s="6"/>
      <c r="J141" s="6"/>
      <c r="K141" s="6"/>
      <c r="L141" s="6"/>
      <c r="M141" s="6"/>
      <c r="N141" s="6"/>
      <c r="O141" s="7"/>
      <c r="P141" s="7"/>
      <c r="Q141" s="7"/>
      <c r="R141" s="7"/>
      <c r="S141" s="7"/>
      <c r="T141" s="7"/>
      <c r="U141" s="7"/>
      <c r="V141" s="6" t="s">
        <v>1224</v>
      </c>
      <c r="W141" s="6" t="s">
        <v>1217</v>
      </c>
      <c r="X141" s="6" t="s">
        <v>1225</v>
      </c>
      <c r="Y141" s="6" t="s">
        <v>1226</v>
      </c>
      <c r="Z141" s="6" t="s">
        <v>1227</v>
      </c>
      <c r="AA141" s="6" t="s">
        <v>34</v>
      </c>
      <c r="AB141" s="6" t="s">
        <v>1228</v>
      </c>
      <c r="AC141" s="6" t="s">
        <v>34</v>
      </c>
      <c r="AD141" s="6" t="s">
        <v>1224</v>
      </c>
      <c r="AE141" s="6" t="s">
        <v>1229</v>
      </c>
      <c r="AF141" s="6" t="s">
        <v>1230</v>
      </c>
      <c r="AG141" s="6" t="s">
        <v>34</v>
      </c>
    </row>
    <row r="142" spans="1:33" ht="15.75" customHeight="1" x14ac:dyDescent="0.15">
      <c r="A142" s="6">
        <v>599</v>
      </c>
      <c r="B142" s="6" t="s">
        <v>1205</v>
      </c>
      <c r="C142" s="7"/>
      <c r="D142" s="7"/>
      <c r="E142" s="7"/>
      <c r="F142" s="6"/>
      <c r="G142" s="6"/>
      <c r="H142" s="6"/>
      <c r="I142" s="6"/>
      <c r="J142" s="6"/>
      <c r="K142" s="6"/>
      <c r="L142" s="6"/>
      <c r="M142" s="6"/>
      <c r="N142" s="6"/>
      <c r="O142" s="7"/>
      <c r="P142" s="7"/>
      <c r="Q142" s="7"/>
      <c r="R142" s="7"/>
      <c r="S142" s="7"/>
      <c r="T142" s="7"/>
      <c r="U142" s="7"/>
      <c r="V142" s="6" t="s">
        <v>1231</v>
      </c>
      <c r="W142" s="6" t="s">
        <v>1232</v>
      </c>
      <c r="X142" s="6" t="s">
        <v>1233</v>
      </c>
      <c r="Y142" s="6" t="s">
        <v>1234</v>
      </c>
      <c r="Z142" s="6" t="s">
        <v>1235</v>
      </c>
      <c r="AA142" s="6" t="s">
        <v>34</v>
      </c>
      <c r="AB142" s="6" t="s">
        <v>1236</v>
      </c>
      <c r="AC142" s="6" t="s">
        <v>34</v>
      </c>
      <c r="AD142" s="6" t="s">
        <v>1231</v>
      </c>
      <c r="AE142" s="6" t="s">
        <v>1237</v>
      </c>
      <c r="AF142" s="6" t="s">
        <v>1238</v>
      </c>
      <c r="AG142" s="6" t="s">
        <v>34</v>
      </c>
    </row>
    <row r="143" spans="1:33" ht="15.75" customHeight="1" x14ac:dyDescent="0.15">
      <c r="A143" s="6">
        <v>4691</v>
      </c>
      <c r="B143" s="6" t="s">
        <v>1239</v>
      </c>
      <c r="C143" s="7" t="s">
        <v>849</v>
      </c>
      <c r="D143" s="7" t="s">
        <v>33</v>
      </c>
      <c r="E143" s="6" t="s">
        <v>1240</v>
      </c>
      <c r="F143" s="6" t="s">
        <v>1241</v>
      </c>
      <c r="G143" s="6" t="s">
        <v>1242</v>
      </c>
      <c r="H143" s="6" t="s">
        <v>55</v>
      </c>
      <c r="I143" s="7" t="s">
        <v>1243</v>
      </c>
      <c r="J143" s="6" t="s">
        <v>68</v>
      </c>
      <c r="K143" s="6" t="s">
        <v>1244</v>
      </c>
      <c r="L143" s="6" t="s">
        <v>34</v>
      </c>
      <c r="M143" s="6" t="s">
        <v>55</v>
      </c>
      <c r="N143" s="6" t="s">
        <v>1245</v>
      </c>
      <c r="O143" s="6" t="s">
        <v>1246</v>
      </c>
      <c r="P143" s="6" t="s">
        <v>1247</v>
      </c>
      <c r="Q143" s="6" t="s">
        <v>1248</v>
      </c>
      <c r="R143" s="6" t="s">
        <v>34</v>
      </c>
      <c r="S143" s="6" t="s">
        <v>34</v>
      </c>
      <c r="T143" s="6" t="s">
        <v>34</v>
      </c>
      <c r="U143" s="6" t="s">
        <v>34</v>
      </c>
      <c r="V143" s="6" t="s">
        <v>33</v>
      </c>
      <c r="W143" s="6">
        <v>870</v>
      </c>
      <c r="X143" s="6" t="s">
        <v>1247</v>
      </c>
      <c r="Y143" s="6" t="s">
        <v>1248</v>
      </c>
      <c r="Z143" s="6" t="s">
        <v>34</v>
      </c>
      <c r="AA143" s="6" t="s">
        <v>34</v>
      </c>
      <c r="AB143" s="6" t="s">
        <v>34</v>
      </c>
      <c r="AC143" s="6" t="s">
        <v>34</v>
      </c>
      <c r="AD143" s="6" t="s">
        <v>33</v>
      </c>
      <c r="AE143" s="6" t="s">
        <v>1249</v>
      </c>
      <c r="AF143" s="6" t="s">
        <v>55</v>
      </c>
      <c r="AG143" s="6" t="s">
        <v>34</v>
      </c>
    </row>
    <row r="144" spans="1:33" ht="15.75" customHeight="1" x14ac:dyDescent="0.15">
      <c r="A144" s="6">
        <v>3891</v>
      </c>
      <c r="B144" s="6" t="s">
        <v>1250</v>
      </c>
      <c r="C144" s="6" t="s">
        <v>32</v>
      </c>
      <c r="D144" s="6" t="s">
        <v>33</v>
      </c>
      <c r="E144" s="6" t="s">
        <v>34</v>
      </c>
      <c r="F144" s="6" t="s">
        <v>1251</v>
      </c>
      <c r="G144" s="6" t="s">
        <v>1252</v>
      </c>
      <c r="H144" s="6" t="s">
        <v>1253</v>
      </c>
      <c r="I144" s="6" t="s">
        <v>34</v>
      </c>
      <c r="J144" s="6" t="s">
        <v>336</v>
      </c>
      <c r="K144" s="7" t="s">
        <v>1254</v>
      </c>
      <c r="L144" s="6" t="s">
        <v>1255</v>
      </c>
      <c r="M144" s="6" t="s">
        <v>55</v>
      </c>
      <c r="N144" s="6" t="s">
        <v>1256</v>
      </c>
      <c r="O144" s="6" t="s">
        <v>1257</v>
      </c>
      <c r="P144" s="6" t="s">
        <v>34</v>
      </c>
      <c r="Q144" s="6" t="s">
        <v>34</v>
      </c>
      <c r="R144" s="6" t="s">
        <v>34</v>
      </c>
      <c r="S144" s="6" t="s">
        <v>34</v>
      </c>
      <c r="T144" s="6" t="s">
        <v>34</v>
      </c>
      <c r="U144" s="6" t="s">
        <v>34</v>
      </c>
      <c r="V144" s="6" t="s">
        <v>33</v>
      </c>
      <c r="W144" s="6">
        <v>2195</v>
      </c>
      <c r="X144" s="6" t="s">
        <v>34</v>
      </c>
      <c r="Y144" s="6" t="s">
        <v>34</v>
      </c>
      <c r="Z144" s="6" t="s">
        <v>34</v>
      </c>
      <c r="AA144" s="6" t="s">
        <v>34</v>
      </c>
      <c r="AB144" s="6" t="s">
        <v>34</v>
      </c>
      <c r="AC144" s="6" t="s">
        <v>34</v>
      </c>
      <c r="AD144" s="6" t="s">
        <v>33</v>
      </c>
      <c r="AE144" s="6" t="s">
        <v>1258</v>
      </c>
      <c r="AF144" s="6" t="s">
        <v>34</v>
      </c>
      <c r="AG144" s="6" t="s">
        <v>34</v>
      </c>
    </row>
    <row r="145" spans="1:33" ht="15.75" customHeight="1" x14ac:dyDescent="0.15">
      <c r="A145" s="6">
        <v>3891</v>
      </c>
      <c r="B145" s="6" t="s">
        <v>1250</v>
      </c>
      <c r="C145" s="7"/>
      <c r="D145" s="7"/>
      <c r="E145" s="7"/>
      <c r="F145" s="7"/>
      <c r="G145" s="7"/>
      <c r="H145" s="7"/>
      <c r="I145" s="7"/>
      <c r="J145" s="7"/>
      <c r="K145" s="7"/>
      <c r="L145" s="7"/>
      <c r="M145" s="7"/>
      <c r="N145" s="7"/>
      <c r="O145" s="7"/>
      <c r="P145" s="7"/>
      <c r="Q145" s="7"/>
      <c r="R145" s="7"/>
      <c r="S145" s="7"/>
      <c r="T145" s="7"/>
      <c r="U145" s="7"/>
      <c r="V145" s="6" t="s">
        <v>46</v>
      </c>
      <c r="W145" s="6">
        <v>48249</v>
      </c>
      <c r="X145" s="6" t="s">
        <v>34</v>
      </c>
      <c r="Y145" s="6" t="s">
        <v>34</v>
      </c>
      <c r="Z145" s="6" t="s">
        <v>34</v>
      </c>
      <c r="AA145" s="6" t="s">
        <v>34</v>
      </c>
      <c r="AB145" s="6" t="s">
        <v>34</v>
      </c>
      <c r="AC145" s="6" t="s">
        <v>34</v>
      </c>
      <c r="AD145" s="6" t="s">
        <v>46</v>
      </c>
      <c r="AE145" s="6" t="s">
        <v>1259</v>
      </c>
      <c r="AF145" s="6" t="s">
        <v>34</v>
      </c>
      <c r="AG145" s="6" t="s">
        <v>34</v>
      </c>
    </row>
    <row r="146" spans="1:33" ht="15.75" customHeight="1" x14ac:dyDescent="0.1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row>
    <row r="147" spans="1:33" ht="15.75" customHeight="1" x14ac:dyDescent="0.1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row>
    <row r="148" spans="1:33" ht="15.75" customHeight="1" x14ac:dyDescent="0.1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row>
    <row r="149" spans="1:33" ht="15.75" customHeight="1" x14ac:dyDescent="0.1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row>
    <row r="150" spans="1:33" ht="15.75" customHeight="1" x14ac:dyDescent="0.1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row>
    <row r="151" spans="1:33" ht="15.75" customHeight="1" x14ac:dyDescent="0.1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row>
    <row r="152" spans="1:33" ht="15.75" customHeight="1" x14ac:dyDescent="0.1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row>
    <row r="153" spans="1:33" ht="15.75" customHeight="1" x14ac:dyDescent="0.1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row>
    <row r="154" spans="1:33" ht="15.75" customHeight="1" x14ac:dyDescent="0.1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row>
    <row r="155" spans="1:33" ht="15.75" customHeight="1" x14ac:dyDescent="0.1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row>
    <row r="156" spans="1:33" ht="15.75" customHeight="1" x14ac:dyDescent="0.1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row>
    <row r="157" spans="1:33" ht="15.75" customHeight="1" x14ac:dyDescent="0.1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row>
    <row r="158" spans="1:33" ht="15.75" customHeight="1" x14ac:dyDescent="0.1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row>
    <row r="159" spans="1:33" ht="15.75" customHeight="1" x14ac:dyDescent="0.1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row>
    <row r="160" spans="1:33" ht="15.75" customHeight="1" x14ac:dyDescent="0.1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row>
    <row r="161" spans="1:33" ht="15.75" customHeight="1" x14ac:dyDescent="0.1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row>
    <row r="162" spans="1:33" ht="15.75" customHeight="1" x14ac:dyDescent="0.1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row>
    <row r="163" spans="1:33" ht="15.75" customHeight="1" x14ac:dyDescent="0.1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row>
    <row r="164" spans="1:33" ht="15.75" customHeight="1" x14ac:dyDescent="0.1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row>
    <row r="165" spans="1:33" ht="15.75" customHeight="1" x14ac:dyDescent="0.1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row>
    <row r="166" spans="1:33" ht="15.75" customHeight="1" x14ac:dyDescent="0.1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row>
    <row r="167" spans="1:33" ht="15.75" customHeight="1" x14ac:dyDescent="0.1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row>
    <row r="168" spans="1:33" ht="15.75" customHeight="1" x14ac:dyDescent="0.1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row>
    <row r="169" spans="1:33" ht="15.75" customHeight="1" x14ac:dyDescent="0.1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row>
    <row r="170" spans="1:33" ht="15.75" customHeight="1" x14ac:dyDescent="0.1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row>
    <row r="171" spans="1:33" ht="15.75" customHeight="1" x14ac:dyDescent="0.1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row>
    <row r="172" spans="1:33" ht="15.75" customHeight="1" x14ac:dyDescent="0.1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row>
    <row r="173" spans="1:33" ht="15.75" customHeight="1" x14ac:dyDescent="0.1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row>
    <row r="174" spans="1:33" ht="15.75" customHeight="1" x14ac:dyDescent="0.1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row>
    <row r="175" spans="1:33" ht="15.75" customHeight="1" x14ac:dyDescent="0.1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row>
    <row r="176" spans="1:33" ht="15.75" customHeight="1" x14ac:dyDescent="0.1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row>
    <row r="177" spans="1:33" ht="15.75" customHeight="1" x14ac:dyDescent="0.1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row>
    <row r="178" spans="1:33" ht="15.75" customHeight="1" x14ac:dyDescent="0.1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row>
    <row r="179" spans="1:33" ht="15.75" customHeight="1" x14ac:dyDescent="0.1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row>
    <row r="180" spans="1:33" ht="15.75" customHeight="1" x14ac:dyDescent="0.1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row>
    <row r="181" spans="1:33" ht="15.75" customHeight="1" x14ac:dyDescent="0.1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row>
    <row r="182" spans="1:33" ht="15.75" customHeight="1" x14ac:dyDescent="0.1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row>
    <row r="183" spans="1:33" ht="15.75" customHeight="1" x14ac:dyDescent="0.1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row>
    <row r="184" spans="1:33" ht="15.75" customHeight="1" x14ac:dyDescent="0.1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row>
    <row r="185" spans="1:33" ht="15.75" customHeight="1" x14ac:dyDescent="0.1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row>
    <row r="186" spans="1:33" ht="15.75" customHeight="1" x14ac:dyDescent="0.1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row>
    <row r="187" spans="1:33" ht="15.75" customHeight="1" x14ac:dyDescent="0.1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row>
    <row r="188" spans="1:33" ht="15.75" customHeight="1" x14ac:dyDescent="0.1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row>
    <row r="189" spans="1:33" ht="15.75" customHeight="1" x14ac:dyDescent="0.1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row>
    <row r="190" spans="1:33" ht="15.75" customHeight="1" x14ac:dyDescent="0.1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row>
    <row r="191" spans="1:33" ht="15.75" customHeight="1" x14ac:dyDescent="0.1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row>
    <row r="192" spans="1:33" ht="15.75" customHeight="1" x14ac:dyDescent="0.1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row>
    <row r="193" spans="1:33" ht="15.75" customHeight="1" x14ac:dyDescent="0.1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row>
    <row r="194" spans="1:33" ht="15.75" customHeight="1" x14ac:dyDescent="0.1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row>
    <row r="195" spans="1:33" ht="15.75" customHeight="1" x14ac:dyDescent="0.1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row>
    <row r="196" spans="1:33" ht="15.75" customHeight="1" x14ac:dyDescent="0.1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row>
    <row r="197" spans="1:33" ht="15.75" customHeight="1" x14ac:dyDescent="0.1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row>
    <row r="198" spans="1:33" ht="15.75" customHeight="1" x14ac:dyDescent="0.1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row>
    <row r="199" spans="1:33" ht="15.75" customHeight="1" x14ac:dyDescent="0.1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row>
    <row r="200" spans="1:33" ht="15.75" customHeight="1" x14ac:dyDescent="0.1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row>
    <row r="201" spans="1:33" ht="15.75" customHeight="1" x14ac:dyDescent="0.1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row>
    <row r="202" spans="1:33" ht="15.75" customHeight="1" x14ac:dyDescent="0.1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row>
    <row r="203" spans="1:33" ht="15.75" customHeight="1" x14ac:dyDescent="0.1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row>
    <row r="204" spans="1:33" ht="15.75" customHeight="1" x14ac:dyDescent="0.1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row>
    <row r="205" spans="1:33" ht="15.75" customHeight="1" x14ac:dyDescent="0.1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row>
    <row r="206" spans="1:33" ht="15.75" customHeight="1" x14ac:dyDescent="0.1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row>
    <row r="207" spans="1:33" ht="15.75" customHeight="1" x14ac:dyDescent="0.1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row>
    <row r="208" spans="1:33" ht="15.75" customHeight="1" x14ac:dyDescent="0.1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row>
    <row r="209" spans="1:33" ht="15.75" customHeight="1" x14ac:dyDescent="0.1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row>
    <row r="210" spans="1:33" ht="15.75" customHeight="1" x14ac:dyDescent="0.1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row>
    <row r="211" spans="1:33" ht="15.75" customHeight="1" x14ac:dyDescent="0.1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row>
    <row r="212" spans="1:33" ht="15.75" customHeight="1" x14ac:dyDescent="0.1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row>
    <row r="213" spans="1:33" ht="15.75" customHeight="1" x14ac:dyDescent="0.1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row>
    <row r="214" spans="1:33" ht="15.75" customHeight="1" x14ac:dyDescent="0.1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row>
    <row r="215" spans="1:33" ht="15.75" customHeight="1" x14ac:dyDescent="0.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row>
    <row r="216" spans="1:33" ht="15.75" customHeight="1" x14ac:dyDescent="0.1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row>
    <row r="217" spans="1:33" ht="15.75" customHeight="1" x14ac:dyDescent="0.1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row>
    <row r="218" spans="1:33" ht="15.75" customHeight="1" x14ac:dyDescent="0.1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row>
    <row r="219" spans="1:33" ht="15.75" customHeight="1" x14ac:dyDescent="0.1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row>
    <row r="220" spans="1:33" ht="15.75" customHeight="1" x14ac:dyDescent="0.1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row>
    <row r="221" spans="1:33" ht="15.75" customHeight="1" x14ac:dyDescent="0.1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row>
    <row r="222" spans="1:33" ht="15.75" customHeight="1" x14ac:dyDescent="0.1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row>
    <row r="223" spans="1:33" ht="15.75" customHeight="1" x14ac:dyDescent="0.1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row>
    <row r="224" spans="1:33" ht="15.75" customHeight="1" x14ac:dyDescent="0.1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row>
    <row r="225" spans="1:33" ht="15.75" customHeight="1" x14ac:dyDescent="0.1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row>
    <row r="226" spans="1:33" ht="15.75" customHeight="1" x14ac:dyDescent="0.1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row>
    <row r="227" spans="1:33" ht="15.75" customHeight="1" x14ac:dyDescent="0.1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row>
    <row r="228" spans="1:33" ht="15.75" customHeight="1" x14ac:dyDescent="0.1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row>
    <row r="229" spans="1:33" ht="15.75" customHeight="1" x14ac:dyDescent="0.1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row>
    <row r="230" spans="1:33" ht="15.75" customHeight="1" x14ac:dyDescent="0.1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row>
    <row r="231" spans="1:33" ht="15.75" customHeight="1" x14ac:dyDescent="0.1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row>
    <row r="232" spans="1:33" ht="15.75" customHeight="1" x14ac:dyDescent="0.1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row>
    <row r="233" spans="1:33" ht="15.75" customHeight="1" x14ac:dyDescent="0.1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row>
    <row r="234" spans="1:33" ht="15.75" customHeight="1" x14ac:dyDescent="0.1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row>
    <row r="235" spans="1:33" ht="15.75" customHeight="1" x14ac:dyDescent="0.1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row>
    <row r="236" spans="1:33" ht="15.75" customHeight="1" x14ac:dyDescent="0.1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row>
    <row r="237" spans="1:33" ht="15.75" customHeight="1" x14ac:dyDescent="0.1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row>
    <row r="238" spans="1:33" ht="15.75" customHeight="1" x14ac:dyDescent="0.1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row>
    <row r="239" spans="1:33" ht="15.75" customHeight="1" x14ac:dyDescent="0.1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row>
    <row r="240" spans="1:33" ht="15.75" customHeight="1" x14ac:dyDescent="0.1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row>
    <row r="241" spans="1:33" ht="15.75" customHeight="1" x14ac:dyDescent="0.1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row>
    <row r="242" spans="1:33" ht="15.75" customHeight="1" x14ac:dyDescent="0.1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row>
    <row r="243" spans="1:33" ht="15.75" customHeight="1" x14ac:dyDescent="0.1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row>
    <row r="244" spans="1:33" ht="15.75" customHeight="1" x14ac:dyDescent="0.1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row>
    <row r="245" spans="1:33" ht="15.75" customHeight="1" x14ac:dyDescent="0.1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row>
    <row r="246" spans="1:33" ht="15.75" customHeight="1" x14ac:dyDescent="0.1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row>
    <row r="247" spans="1:33" ht="15.75" customHeight="1" x14ac:dyDescent="0.1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row>
    <row r="248" spans="1:33" ht="15.75" customHeight="1" x14ac:dyDescent="0.1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row>
    <row r="249" spans="1:33" ht="15.75" customHeight="1" x14ac:dyDescent="0.1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row>
    <row r="250" spans="1:33" ht="15.75" customHeight="1" x14ac:dyDescent="0.1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row>
    <row r="251" spans="1:33" ht="15.75" customHeight="1" x14ac:dyDescent="0.1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row>
    <row r="252" spans="1:33" ht="15.75" customHeight="1" x14ac:dyDescent="0.1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row>
    <row r="253" spans="1:33" ht="15.75" customHeight="1" x14ac:dyDescent="0.1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row>
    <row r="254" spans="1:33" ht="15.75" customHeight="1" x14ac:dyDescent="0.1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row>
    <row r="255" spans="1:33" ht="15.75" customHeight="1" x14ac:dyDescent="0.1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row>
    <row r="256" spans="1:33" ht="15.75" customHeight="1" x14ac:dyDescent="0.1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row>
    <row r="257" spans="1:33" ht="15.75" customHeight="1" x14ac:dyDescent="0.1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row>
    <row r="258" spans="1:33" ht="15.75" customHeight="1" x14ac:dyDescent="0.1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row>
    <row r="259" spans="1:33" ht="15.75" customHeight="1" x14ac:dyDescent="0.1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row>
    <row r="260" spans="1:33" ht="15.75" customHeight="1" x14ac:dyDescent="0.1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row>
    <row r="261" spans="1:33" ht="15.75" customHeight="1" x14ac:dyDescent="0.1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row>
    <row r="262" spans="1:33" ht="15.75" customHeight="1" x14ac:dyDescent="0.1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row>
    <row r="263" spans="1:33" ht="15.75" customHeight="1" x14ac:dyDescent="0.1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row>
    <row r="264" spans="1:33" ht="15.75" customHeight="1" x14ac:dyDescent="0.1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row>
    <row r="265" spans="1:33" ht="15.75" customHeight="1" x14ac:dyDescent="0.1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row>
    <row r="266" spans="1:33" ht="15.75" customHeight="1" x14ac:dyDescent="0.1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row>
    <row r="267" spans="1:33" ht="15.75" customHeight="1" x14ac:dyDescent="0.1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row>
    <row r="268" spans="1:33" ht="15.75" customHeight="1" x14ac:dyDescent="0.1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row>
    <row r="269" spans="1:33" ht="15.75" customHeight="1" x14ac:dyDescent="0.1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row>
    <row r="270" spans="1:33" ht="15.75" customHeight="1" x14ac:dyDescent="0.1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row>
    <row r="271" spans="1:33" ht="15.75" customHeight="1" x14ac:dyDescent="0.1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row>
    <row r="272" spans="1:33" ht="15.75" customHeight="1" x14ac:dyDescent="0.1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row>
    <row r="273" spans="1:33" ht="15.75" customHeight="1" x14ac:dyDescent="0.1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row>
    <row r="274" spans="1:33" ht="15.75" customHeight="1" x14ac:dyDescent="0.1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row>
    <row r="275" spans="1:33" ht="15.75" customHeight="1" x14ac:dyDescent="0.1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row>
    <row r="276" spans="1:33" ht="15.75" customHeight="1" x14ac:dyDescent="0.1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row>
    <row r="277" spans="1:33" ht="15.75" customHeight="1" x14ac:dyDescent="0.1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row>
    <row r="278" spans="1:33" ht="15.75" customHeight="1" x14ac:dyDescent="0.1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row>
    <row r="279" spans="1:33" ht="15.75" customHeight="1" x14ac:dyDescent="0.1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row>
    <row r="280" spans="1:33" ht="15.75" customHeight="1" x14ac:dyDescent="0.1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row>
    <row r="281" spans="1:33" ht="15.75" customHeight="1" x14ac:dyDescent="0.1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row>
    <row r="282" spans="1:33" ht="15.75" customHeight="1" x14ac:dyDescent="0.1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row>
    <row r="283" spans="1:33" ht="15.75" customHeight="1" x14ac:dyDescent="0.1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row>
    <row r="284" spans="1:33" ht="15.75" customHeight="1" x14ac:dyDescent="0.1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row>
    <row r="285" spans="1:33" ht="15.75" customHeight="1" x14ac:dyDescent="0.1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row>
    <row r="286" spans="1:33" ht="15.75" customHeight="1" x14ac:dyDescent="0.1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row>
    <row r="287" spans="1:33" ht="15.75" customHeight="1" x14ac:dyDescent="0.1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row>
    <row r="288" spans="1:33" ht="15.75" customHeight="1" x14ac:dyDescent="0.1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row>
    <row r="289" spans="1:33" ht="15.75" customHeight="1" x14ac:dyDescent="0.1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row>
    <row r="290" spans="1:33" ht="15.75" customHeight="1" x14ac:dyDescent="0.1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row>
    <row r="291" spans="1:33" ht="15.75" customHeight="1" x14ac:dyDescent="0.1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row>
    <row r="292" spans="1:33" ht="15.75" customHeight="1" x14ac:dyDescent="0.1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row>
    <row r="293" spans="1:33" ht="15.75" customHeight="1" x14ac:dyDescent="0.1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row>
    <row r="294" spans="1:33" ht="15.75" customHeight="1" x14ac:dyDescent="0.1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row>
    <row r="295" spans="1:33" ht="15.75" customHeight="1" x14ac:dyDescent="0.1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row>
    <row r="296" spans="1:33" ht="15.75" customHeight="1" x14ac:dyDescent="0.1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row>
    <row r="297" spans="1:33" ht="15.75" customHeight="1" x14ac:dyDescent="0.1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row>
    <row r="298" spans="1:33" ht="15.75" customHeight="1" x14ac:dyDescent="0.1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row>
    <row r="299" spans="1:33" ht="15.75" customHeight="1" x14ac:dyDescent="0.1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row>
    <row r="300" spans="1:33" ht="15.75" customHeight="1" x14ac:dyDescent="0.1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row>
    <row r="301" spans="1:33" ht="15.75" customHeight="1" x14ac:dyDescent="0.1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row>
    <row r="302" spans="1:33" ht="15.75" customHeight="1" x14ac:dyDescent="0.1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row>
    <row r="303" spans="1:33" ht="15.75" customHeight="1" x14ac:dyDescent="0.1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row>
    <row r="304" spans="1:33" ht="15.75" customHeight="1" x14ac:dyDescent="0.1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row>
    <row r="305" spans="1:33" ht="15.75" customHeight="1" x14ac:dyDescent="0.1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row>
    <row r="306" spans="1:33" ht="15.75" customHeight="1" x14ac:dyDescent="0.1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row>
    <row r="307" spans="1:33" ht="15.75" customHeight="1" x14ac:dyDescent="0.1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row>
    <row r="308" spans="1:33" ht="15.75" customHeight="1" x14ac:dyDescent="0.1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row>
    <row r="309" spans="1:33" ht="15.75" customHeight="1" x14ac:dyDescent="0.1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row>
    <row r="310" spans="1:33" ht="15.75" customHeight="1" x14ac:dyDescent="0.1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row>
    <row r="311" spans="1:33" ht="15.75" customHeight="1" x14ac:dyDescent="0.1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row>
    <row r="312" spans="1:33" ht="15.75" customHeight="1" x14ac:dyDescent="0.1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row>
    <row r="313" spans="1:33" ht="15.75" customHeight="1" x14ac:dyDescent="0.1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row>
    <row r="314" spans="1:33" ht="15.75" customHeight="1" x14ac:dyDescent="0.1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row>
    <row r="315" spans="1:33" ht="15.75" customHeight="1" x14ac:dyDescent="0.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row>
    <row r="316" spans="1:33" ht="15.75" customHeight="1" x14ac:dyDescent="0.1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row>
    <row r="317" spans="1:33" ht="15.75" customHeight="1" x14ac:dyDescent="0.1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row>
    <row r="318" spans="1:33" ht="15.75" customHeight="1" x14ac:dyDescent="0.1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row>
    <row r="319" spans="1:33" ht="15.75" customHeight="1" x14ac:dyDescent="0.1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row>
    <row r="320" spans="1:33" ht="15.75" customHeight="1" x14ac:dyDescent="0.1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row>
    <row r="321" spans="1:33" ht="15.75" customHeight="1" x14ac:dyDescent="0.1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row>
    <row r="322" spans="1:33" ht="15.75" customHeight="1" x14ac:dyDescent="0.1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row>
    <row r="323" spans="1:33" ht="15.75" customHeight="1" x14ac:dyDescent="0.1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row>
    <row r="324" spans="1:33" ht="15.75" customHeight="1" x14ac:dyDescent="0.1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row>
    <row r="325" spans="1:33" ht="15.75" customHeight="1" x14ac:dyDescent="0.1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row>
    <row r="326" spans="1:33" ht="15.75" customHeight="1" x14ac:dyDescent="0.1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row>
    <row r="327" spans="1:33" ht="15.75" customHeight="1" x14ac:dyDescent="0.1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row>
    <row r="328" spans="1:33" ht="15.75" customHeight="1" x14ac:dyDescent="0.1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row>
    <row r="329" spans="1:33" ht="15.75" customHeight="1" x14ac:dyDescent="0.1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row>
    <row r="330" spans="1:33" ht="15.75" customHeight="1" x14ac:dyDescent="0.1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row>
    <row r="331" spans="1:33" ht="15.75" customHeight="1" x14ac:dyDescent="0.1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row>
    <row r="332" spans="1:33" ht="15.75" customHeight="1" x14ac:dyDescent="0.1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row>
    <row r="333" spans="1:33" ht="15.75" customHeight="1" x14ac:dyDescent="0.1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row>
    <row r="334" spans="1:33" ht="15.75" customHeight="1" x14ac:dyDescent="0.1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row>
    <row r="335" spans="1:33" ht="15.75" customHeight="1" x14ac:dyDescent="0.1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row>
    <row r="336" spans="1:33" ht="15.75" customHeight="1" x14ac:dyDescent="0.1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row>
    <row r="337" spans="1:33" ht="15.75" customHeight="1" x14ac:dyDescent="0.1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row>
    <row r="338" spans="1:33" ht="15.75" customHeight="1" x14ac:dyDescent="0.1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row>
    <row r="339" spans="1:33" ht="15.75" customHeight="1" x14ac:dyDescent="0.1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row>
    <row r="340" spans="1:33" ht="15.75" customHeight="1" x14ac:dyDescent="0.1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row>
    <row r="341" spans="1:33" ht="15.75" customHeight="1" x14ac:dyDescent="0.1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row>
    <row r="342" spans="1:33" ht="15.75" customHeight="1" x14ac:dyDescent="0.1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row>
    <row r="343" spans="1:33" ht="15.75" customHeight="1" x14ac:dyDescent="0.1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row>
    <row r="344" spans="1:33" ht="15.75" customHeight="1" x14ac:dyDescent="0.1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row>
    <row r="345" spans="1:33" ht="15.75" customHeight="1" x14ac:dyDescent="0.1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row>
    <row r="346" spans="1:33" ht="15.75" customHeight="1" x14ac:dyDescent="0.1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row>
    <row r="347" spans="1:33" ht="15.75" customHeight="1" x14ac:dyDescent="0.1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row>
    <row r="348" spans="1:33" ht="15.75" customHeight="1" x14ac:dyDescent="0.1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row>
    <row r="349" spans="1:33" ht="15.75" customHeight="1" x14ac:dyDescent="0.1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row>
    <row r="350" spans="1:33" ht="15.75" customHeight="1" x14ac:dyDescent="0.1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row>
    <row r="351" spans="1:33" ht="15.75" customHeight="1" x14ac:dyDescent="0.1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row>
    <row r="352" spans="1:33" ht="15.75" customHeight="1" x14ac:dyDescent="0.1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row>
    <row r="353" spans="1:33" ht="15.75" customHeight="1" x14ac:dyDescent="0.1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row>
    <row r="354" spans="1:33" ht="15.75" customHeight="1" x14ac:dyDescent="0.1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row>
    <row r="355" spans="1:33" ht="15.75" customHeight="1" x14ac:dyDescent="0.1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row>
    <row r="356" spans="1:33" ht="15.75" customHeight="1" x14ac:dyDescent="0.1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row>
    <row r="357" spans="1:33" ht="15.75" customHeight="1" x14ac:dyDescent="0.1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row>
    <row r="358" spans="1:33" ht="15.75" customHeight="1" x14ac:dyDescent="0.1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row>
    <row r="359" spans="1:33" ht="15.75" customHeight="1" x14ac:dyDescent="0.1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row>
    <row r="360" spans="1:33" ht="15.75" customHeight="1" x14ac:dyDescent="0.1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row>
    <row r="361" spans="1:33" ht="15.75" customHeight="1" x14ac:dyDescent="0.1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row>
    <row r="362" spans="1:33" ht="15.75" customHeight="1" x14ac:dyDescent="0.1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row>
    <row r="363" spans="1:33" ht="15.75" customHeight="1" x14ac:dyDescent="0.1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row>
    <row r="364" spans="1:33" ht="15.75" customHeight="1" x14ac:dyDescent="0.1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row>
    <row r="365" spans="1:33" ht="15.75" customHeight="1" x14ac:dyDescent="0.1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row>
    <row r="366" spans="1:33" ht="15.75" customHeight="1" x14ac:dyDescent="0.1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row>
    <row r="367" spans="1:33" ht="15.75" customHeight="1" x14ac:dyDescent="0.1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row>
    <row r="368" spans="1:33" ht="15.75" customHeight="1" x14ac:dyDescent="0.1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row>
    <row r="369" spans="1:33" ht="15.75" customHeight="1" x14ac:dyDescent="0.1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row>
    <row r="370" spans="1:33" ht="15.75" customHeight="1" x14ac:dyDescent="0.1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row>
    <row r="371" spans="1:33" ht="15.75" customHeight="1" x14ac:dyDescent="0.1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row>
    <row r="372" spans="1:33" ht="15.75" customHeight="1" x14ac:dyDescent="0.1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row>
    <row r="373" spans="1:33" ht="15.75" customHeight="1" x14ac:dyDescent="0.1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row>
    <row r="374" spans="1:33" ht="15.75" customHeight="1" x14ac:dyDescent="0.1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row>
    <row r="375" spans="1:33" ht="15.75" customHeight="1" x14ac:dyDescent="0.1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row>
    <row r="376" spans="1:33" ht="15.75" customHeight="1" x14ac:dyDescent="0.1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row>
    <row r="377" spans="1:33" ht="15.75" customHeight="1" x14ac:dyDescent="0.1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row>
    <row r="378" spans="1:33" ht="15.75" customHeight="1" x14ac:dyDescent="0.1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row>
    <row r="379" spans="1:33" ht="15.75" customHeight="1" x14ac:dyDescent="0.1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row>
    <row r="380" spans="1:33" ht="15.75" customHeight="1" x14ac:dyDescent="0.1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row>
    <row r="381" spans="1:33" ht="15.75" customHeight="1" x14ac:dyDescent="0.1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row>
    <row r="382" spans="1:33" ht="15.75" customHeight="1" x14ac:dyDescent="0.1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row>
    <row r="383" spans="1:33" ht="15.75" customHeight="1" x14ac:dyDescent="0.1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row>
    <row r="384" spans="1:33" ht="15.75" customHeight="1" x14ac:dyDescent="0.1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row>
    <row r="385" spans="1:33" ht="15.75" customHeight="1" x14ac:dyDescent="0.1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row>
    <row r="386" spans="1:33" ht="15.75" customHeight="1" x14ac:dyDescent="0.1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row>
    <row r="387" spans="1:33" ht="15.75" customHeight="1" x14ac:dyDescent="0.1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row>
    <row r="388" spans="1:33" ht="15.75" customHeight="1" x14ac:dyDescent="0.1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row>
    <row r="389" spans="1:33" ht="15.75" customHeight="1" x14ac:dyDescent="0.1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row>
    <row r="390" spans="1:33" ht="15.75" customHeight="1" x14ac:dyDescent="0.1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row>
    <row r="391" spans="1:33" ht="15.75" customHeight="1" x14ac:dyDescent="0.1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row>
    <row r="392" spans="1:33" ht="15.75" customHeight="1" x14ac:dyDescent="0.1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row>
    <row r="393" spans="1:33" ht="15.75" customHeight="1" x14ac:dyDescent="0.1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row>
    <row r="394" spans="1:33" ht="15.75" customHeight="1" x14ac:dyDescent="0.1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row>
    <row r="395" spans="1:33" ht="15.75" customHeight="1" x14ac:dyDescent="0.1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row>
    <row r="396" spans="1:33" ht="15.75" customHeight="1" x14ac:dyDescent="0.1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row>
    <row r="397" spans="1:33" ht="15.75" customHeight="1" x14ac:dyDescent="0.1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row>
    <row r="398" spans="1:33" ht="15.75" customHeight="1" x14ac:dyDescent="0.1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row>
    <row r="399" spans="1:33" ht="15.75" customHeight="1" x14ac:dyDescent="0.1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row>
    <row r="400" spans="1:33" ht="15.75" customHeight="1" x14ac:dyDescent="0.1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row>
    <row r="401" spans="1:33" ht="15.75" customHeight="1" x14ac:dyDescent="0.1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row>
    <row r="402" spans="1:33" ht="15.75" customHeight="1" x14ac:dyDescent="0.1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row>
    <row r="403" spans="1:33" ht="15.75" customHeight="1" x14ac:dyDescent="0.1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row>
    <row r="404" spans="1:33" ht="15.75" customHeight="1" x14ac:dyDescent="0.1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row>
    <row r="405" spans="1:33" ht="15.75" customHeight="1" x14ac:dyDescent="0.1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row>
    <row r="406" spans="1:33" ht="15.75" customHeight="1" x14ac:dyDescent="0.1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row>
    <row r="407" spans="1:33" ht="15.75" customHeight="1" x14ac:dyDescent="0.1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row>
    <row r="408" spans="1:33" ht="15.75" customHeight="1" x14ac:dyDescent="0.1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row>
    <row r="409" spans="1:33" ht="15.75" customHeight="1" x14ac:dyDescent="0.1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row>
    <row r="410" spans="1:33" ht="15.75" customHeight="1" x14ac:dyDescent="0.1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row>
    <row r="411" spans="1:33" ht="15.75" customHeight="1" x14ac:dyDescent="0.1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row>
    <row r="412" spans="1:33" ht="15.75" customHeight="1" x14ac:dyDescent="0.1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row>
    <row r="413" spans="1:33" ht="15.75" customHeight="1" x14ac:dyDescent="0.1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row>
    <row r="414" spans="1:33" ht="15.75" customHeight="1" x14ac:dyDescent="0.1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row>
    <row r="415" spans="1:33" ht="15.75" customHeight="1" x14ac:dyDescent="0.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row>
    <row r="416" spans="1:33" ht="15.75" customHeight="1" x14ac:dyDescent="0.1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row>
    <row r="417" spans="1:33" ht="15.75" customHeight="1" x14ac:dyDescent="0.1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row>
    <row r="418" spans="1:33" ht="15.75" customHeight="1" x14ac:dyDescent="0.1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row>
    <row r="419" spans="1:33" ht="15.75" customHeight="1" x14ac:dyDescent="0.1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row>
    <row r="420" spans="1:33" ht="15.75" customHeight="1" x14ac:dyDescent="0.1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row>
    <row r="421" spans="1:33" ht="15.75" customHeight="1" x14ac:dyDescent="0.1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row>
    <row r="422" spans="1:33" ht="15.75" customHeight="1" x14ac:dyDescent="0.1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row>
    <row r="423" spans="1:33" ht="15.75" customHeight="1" x14ac:dyDescent="0.1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row>
    <row r="424" spans="1:33" ht="15.75" customHeight="1" x14ac:dyDescent="0.1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row>
    <row r="425" spans="1:33" ht="15.75" customHeight="1" x14ac:dyDescent="0.1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row>
    <row r="426" spans="1:33" ht="15.75" customHeight="1" x14ac:dyDescent="0.1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row>
    <row r="427" spans="1:33" ht="15.75" customHeight="1" x14ac:dyDescent="0.1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row>
    <row r="428" spans="1:33" ht="15.75" customHeight="1" x14ac:dyDescent="0.1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row>
    <row r="429" spans="1:33" ht="15.75" customHeight="1" x14ac:dyDescent="0.1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row>
    <row r="430" spans="1:33" ht="15.75" customHeight="1" x14ac:dyDescent="0.1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row>
    <row r="431" spans="1:33" ht="15.75" customHeight="1" x14ac:dyDescent="0.1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row>
    <row r="432" spans="1:33" ht="15.75" customHeight="1" x14ac:dyDescent="0.1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row>
    <row r="433" spans="1:33" ht="15.75" customHeight="1" x14ac:dyDescent="0.1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row>
    <row r="434" spans="1:33" ht="15.75" customHeight="1" x14ac:dyDescent="0.1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row>
    <row r="435" spans="1:33" ht="15.75" customHeight="1" x14ac:dyDescent="0.1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row>
    <row r="436" spans="1:33" ht="15.75" customHeight="1" x14ac:dyDescent="0.1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row>
    <row r="437" spans="1:33" ht="15.75" customHeight="1" x14ac:dyDescent="0.1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row>
    <row r="438" spans="1:33" ht="15.75" customHeight="1" x14ac:dyDescent="0.1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row>
    <row r="439" spans="1:33" ht="15.75" customHeight="1" x14ac:dyDescent="0.1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row>
    <row r="440" spans="1:33" ht="15.75" customHeight="1" x14ac:dyDescent="0.1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row>
    <row r="441" spans="1:33" ht="15.75" customHeight="1" x14ac:dyDescent="0.1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row>
    <row r="442" spans="1:33" ht="15.75" customHeight="1" x14ac:dyDescent="0.1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row>
    <row r="443" spans="1:33" ht="15.75" customHeight="1" x14ac:dyDescent="0.1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row>
    <row r="444" spans="1:33" ht="15.75" customHeight="1" x14ac:dyDescent="0.1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row>
    <row r="445" spans="1:33" ht="15.75" customHeight="1" x14ac:dyDescent="0.1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row>
    <row r="446" spans="1:33" ht="15.75" customHeight="1" x14ac:dyDescent="0.1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row>
    <row r="447" spans="1:33" ht="15.75" customHeight="1" x14ac:dyDescent="0.1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row>
    <row r="448" spans="1:33" ht="15.75" customHeight="1" x14ac:dyDescent="0.1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row>
    <row r="449" spans="1:33" ht="15.75" customHeight="1" x14ac:dyDescent="0.1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row>
    <row r="450" spans="1:33" ht="15.75" customHeight="1" x14ac:dyDescent="0.1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row>
    <row r="451" spans="1:33" ht="15.75" customHeight="1" x14ac:dyDescent="0.1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row>
    <row r="452" spans="1:33" ht="15.75" customHeight="1" x14ac:dyDescent="0.1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row>
    <row r="453" spans="1:33" ht="15.75" customHeight="1" x14ac:dyDescent="0.1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row>
    <row r="454" spans="1:33" ht="15.75" customHeight="1" x14ac:dyDescent="0.1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row>
    <row r="455" spans="1:33" ht="15.75" customHeight="1" x14ac:dyDescent="0.1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row>
    <row r="456" spans="1:33" ht="15.75" customHeight="1" x14ac:dyDescent="0.1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row>
    <row r="457" spans="1:33" ht="15.75" customHeight="1" x14ac:dyDescent="0.1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row>
    <row r="458" spans="1:33" ht="15.75" customHeight="1" x14ac:dyDescent="0.1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row>
    <row r="459" spans="1:33" ht="15.75" customHeight="1" x14ac:dyDescent="0.1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row>
    <row r="460" spans="1:33" ht="15.75" customHeight="1" x14ac:dyDescent="0.1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row>
    <row r="461" spans="1:33" ht="15.75" customHeight="1" x14ac:dyDescent="0.1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row>
    <row r="462" spans="1:33" ht="15.75" customHeight="1" x14ac:dyDescent="0.1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row>
    <row r="463" spans="1:33" ht="15.75" customHeight="1" x14ac:dyDescent="0.1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row>
    <row r="464" spans="1:33" ht="15.75" customHeight="1" x14ac:dyDescent="0.1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row>
    <row r="465" spans="1:33" ht="15.75" customHeight="1" x14ac:dyDescent="0.1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row>
    <row r="466" spans="1:33" ht="15.75" customHeight="1" x14ac:dyDescent="0.1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row>
    <row r="467" spans="1:33" ht="15.75" customHeight="1" x14ac:dyDescent="0.1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row>
    <row r="468" spans="1:33" ht="15.75" customHeight="1" x14ac:dyDescent="0.1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row>
    <row r="469" spans="1:33" ht="15.75" customHeight="1" x14ac:dyDescent="0.1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row>
    <row r="470" spans="1:33" ht="15.75" customHeight="1" x14ac:dyDescent="0.1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row>
    <row r="471" spans="1:33" ht="15.75" customHeight="1" x14ac:dyDescent="0.1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row>
    <row r="472" spans="1:33" ht="15.75" customHeight="1" x14ac:dyDescent="0.1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row>
    <row r="473" spans="1:33" ht="15.75" customHeight="1" x14ac:dyDescent="0.1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row>
    <row r="474" spans="1:33" ht="15.75" customHeight="1" x14ac:dyDescent="0.1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row>
    <row r="475" spans="1:33" ht="15.75" customHeight="1" x14ac:dyDescent="0.1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row>
    <row r="476" spans="1:33" ht="15.75" customHeight="1" x14ac:dyDescent="0.1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row>
    <row r="477" spans="1:33" ht="15.75" customHeight="1" x14ac:dyDescent="0.1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row>
    <row r="478" spans="1:33" ht="15.75" customHeight="1" x14ac:dyDescent="0.1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row>
    <row r="479" spans="1:33" ht="15.75" customHeight="1" x14ac:dyDescent="0.1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row>
    <row r="480" spans="1:33" ht="15.75" customHeight="1" x14ac:dyDescent="0.1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row>
    <row r="481" spans="1:33" ht="15.75" customHeight="1" x14ac:dyDescent="0.1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row>
    <row r="482" spans="1:33" ht="15.75" customHeight="1" x14ac:dyDescent="0.1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row>
    <row r="483" spans="1:33" ht="15.75" customHeight="1" x14ac:dyDescent="0.1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row>
    <row r="484" spans="1:33" ht="15.75" customHeight="1" x14ac:dyDescent="0.1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row>
    <row r="485" spans="1:33" ht="15.75" customHeight="1" x14ac:dyDescent="0.1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row>
    <row r="486" spans="1:33" ht="15.75" customHeight="1" x14ac:dyDescent="0.1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row>
    <row r="487" spans="1:33" ht="15.75" customHeight="1" x14ac:dyDescent="0.1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row>
    <row r="488" spans="1:33" ht="15.75" customHeight="1" x14ac:dyDescent="0.1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row>
    <row r="489" spans="1:33" ht="15.75" customHeight="1" x14ac:dyDescent="0.1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row>
    <row r="490" spans="1:33" ht="15.75" customHeight="1" x14ac:dyDescent="0.1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row>
    <row r="491" spans="1:33" ht="15.75" customHeight="1" x14ac:dyDescent="0.1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row>
    <row r="492" spans="1:33" ht="15.75" customHeight="1" x14ac:dyDescent="0.1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row>
    <row r="493" spans="1:33" ht="15.75" customHeight="1" x14ac:dyDescent="0.1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row>
    <row r="494" spans="1:33" ht="15.75" customHeight="1" x14ac:dyDescent="0.1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row>
    <row r="495" spans="1:33" ht="15.75" customHeight="1" x14ac:dyDescent="0.1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row>
    <row r="496" spans="1:33" ht="15.75" customHeight="1" x14ac:dyDescent="0.1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row>
    <row r="497" spans="1:33" ht="15.75" customHeight="1" x14ac:dyDescent="0.1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row>
    <row r="498" spans="1:33" ht="15.75" customHeight="1" x14ac:dyDescent="0.1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row>
    <row r="499" spans="1:33" ht="15.75" customHeight="1" x14ac:dyDescent="0.1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row>
    <row r="500" spans="1:33" ht="15.75" customHeight="1" x14ac:dyDescent="0.1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row>
    <row r="501" spans="1:33" ht="15.75" customHeight="1" x14ac:dyDescent="0.1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row>
    <row r="502" spans="1:33" ht="15.75" customHeight="1" x14ac:dyDescent="0.1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row>
    <row r="503" spans="1:33" ht="15.75" customHeight="1" x14ac:dyDescent="0.1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row>
    <row r="504" spans="1:33" ht="15.75" customHeight="1" x14ac:dyDescent="0.1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row>
    <row r="505" spans="1:33" ht="15.75" customHeight="1" x14ac:dyDescent="0.1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row>
    <row r="506" spans="1:33" ht="15.75" customHeight="1" x14ac:dyDescent="0.1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row>
    <row r="507" spans="1:33" ht="15.75" customHeight="1" x14ac:dyDescent="0.1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row>
    <row r="508" spans="1:33" ht="15.75" customHeight="1" x14ac:dyDescent="0.1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row>
    <row r="509" spans="1:33" ht="15.75" customHeight="1" x14ac:dyDescent="0.1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row>
    <row r="510" spans="1:33" ht="15.75" customHeight="1" x14ac:dyDescent="0.1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row>
    <row r="511" spans="1:33" ht="15.75" customHeight="1" x14ac:dyDescent="0.1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row>
    <row r="512" spans="1:33" ht="15.75" customHeight="1" x14ac:dyDescent="0.1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row>
    <row r="513" spans="1:33" ht="15.75" customHeight="1" x14ac:dyDescent="0.1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row>
    <row r="514" spans="1:33" ht="15.75" customHeight="1" x14ac:dyDescent="0.1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row>
    <row r="515" spans="1:33" ht="15.75" customHeight="1" x14ac:dyDescent="0.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row>
    <row r="516" spans="1:33" ht="15.75" customHeight="1" x14ac:dyDescent="0.1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row>
    <row r="517" spans="1:33" ht="15.75" customHeight="1" x14ac:dyDescent="0.1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row>
    <row r="518" spans="1:33" ht="15.75" customHeight="1" x14ac:dyDescent="0.1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row>
    <row r="519" spans="1:33" ht="15.75" customHeight="1" x14ac:dyDescent="0.1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row>
    <row r="520" spans="1:33" ht="15.75" customHeight="1" x14ac:dyDescent="0.1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row>
    <row r="521" spans="1:33" ht="15.75" customHeight="1" x14ac:dyDescent="0.1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row>
    <row r="522" spans="1:33" ht="15.75" customHeight="1" x14ac:dyDescent="0.1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row>
    <row r="523" spans="1:33" ht="15.75" customHeight="1" x14ac:dyDescent="0.1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row>
    <row r="524" spans="1:33" ht="15.75" customHeight="1" x14ac:dyDescent="0.1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row>
    <row r="525" spans="1:33" ht="15.75" customHeight="1" x14ac:dyDescent="0.1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row>
    <row r="526" spans="1:33" ht="15.75" customHeight="1" x14ac:dyDescent="0.1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row>
    <row r="527" spans="1:33" ht="15.75" customHeight="1" x14ac:dyDescent="0.1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row>
    <row r="528" spans="1:33" ht="15.75" customHeight="1" x14ac:dyDescent="0.1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row>
    <row r="529" spans="1:33" ht="15.75" customHeight="1" x14ac:dyDescent="0.1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row>
    <row r="530" spans="1:33" ht="15.75" customHeight="1" x14ac:dyDescent="0.1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row>
    <row r="531" spans="1:33" ht="15.75" customHeight="1" x14ac:dyDescent="0.1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row>
    <row r="532" spans="1:33" ht="15.75" customHeight="1" x14ac:dyDescent="0.1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row>
    <row r="533" spans="1:33" ht="15.75" customHeight="1" x14ac:dyDescent="0.1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row>
    <row r="534" spans="1:33" ht="15.75" customHeight="1" x14ac:dyDescent="0.1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row>
    <row r="535" spans="1:33" ht="15.75" customHeight="1" x14ac:dyDescent="0.1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row>
    <row r="536" spans="1:33" ht="15.75" customHeight="1" x14ac:dyDescent="0.1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row>
    <row r="537" spans="1:33" ht="15.75" customHeight="1" x14ac:dyDescent="0.1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row>
    <row r="538" spans="1:33" ht="15.75" customHeight="1" x14ac:dyDescent="0.1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row>
    <row r="539" spans="1:33" ht="15.75" customHeight="1" x14ac:dyDescent="0.1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row>
    <row r="540" spans="1:33" ht="15.75" customHeight="1" x14ac:dyDescent="0.1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row>
    <row r="541" spans="1:33" ht="15.75" customHeight="1" x14ac:dyDescent="0.1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row>
    <row r="542" spans="1:33" ht="15.75" customHeight="1" x14ac:dyDescent="0.1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row>
    <row r="543" spans="1:33" ht="15.75" customHeight="1" x14ac:dyDescent="0.1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row>
    <row r="544" spans="1:33" ht="15.75" customHeight="1" x14ac:dyDescent="0.1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row>
    <row r="545" spans="1:33" ht="15.75" customHeight="1" x14ac:dyDescent="0.1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row>
    <row r="546" spans="1:33" ht="15.75" customHeight="1" x14ac:dyDescent="0.1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row>
    <row r="547" spans="1:33" ht="15.75" customHeight="1" x14ac:dyDescent="0.1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row>
    <row r="548" spans="1:33" ht="15.75" customHeight="1" x14ac:dyDescent="0.1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row>
    <row r="549" spans="1:33" ht="15.75" customHeight="1" x14ac:dyDescent="0.1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row>
    <row r="550" spans="1:33" ht="15.75" customHeight="1" x14ac:dyDescent="0.1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row>
    <row r="551" spans="1:33" ht="15.75" customHeight="1" x14ac:dyDescent="0.1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row>
    <row r="552" spans="1:33" ht="15.75" customHeight="1" x14ac:dyDescent="0.1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row>
    <row r="553" spans="1:33" ht="15.75" customHeight="1" x14ac:dyDescent="0.1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row>
    <row r="554" spans="1:33" ht="15.75" customHeight="1" x14ac:dyDescent="0.1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row>
    <row r="555" spans="1:33" ht="15.75" customHeight="1" x14ac:dyDescent="0.1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row>
    <row r="556" spans="1:33" ht="15.75" customHeight="1" x14ac:dyDescent="0.1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row>
    <row r="557" spans="1:33" ht="15.75" customHeight="1" x14ac:dyDescent="0.1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row>
    <row r="558" spans="1:33" ht="15.75" customHeight="1" x14ac:dyDescent="0.1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row>
    <row r="559" spans="1:33" ht="15.75" customHeight="1" x14ac:dyDescent="0.1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row>
    <row r="560" spans="1:33" ht="15.75" customHeight="1" x14ac:dyDescent="0.1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row>
    <row r="561" spans="1:33" ht="15.75" customHeight="1" x14ac:dyDescent="0.1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row>
    <row r="562" spans="1:33" ht="15.75" customHeight="1" x14ac:dyDescent="0.1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row>
    <row r="563" spans="1:33" ht="15.75" customHeight="1" x14ac:dyDescent="0.1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row>
    <row r="564" spans="1:33" ht="15.75" customHeight="1" x14ac:dyDescent="0.1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row>
    <row r="565" spans="1:33" ht="15.75" customHeight="1" x14ac:dyDescent="0.1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row>
    <row r="566" spans="1:33" ht="15.75" customHeight="1" x14ac:dyDescent="0.1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row>
    <row r="567" spans="1:33" ht="15.75" customHeight="1" x14ac:dyDescent="0.1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row>
    <row r="568" spans="1:33" ht="15.75" customHeight="1" x14ac:dyDescent="0.1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row>
    <row r="569" spans="1:33" ht="15.75" customHeight="1" x14ac:dyDescent="0.1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row>
    <row r="570" spans="1:33" ht="15.75" customHeight="1" x14ac:dyDescent="0.1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row>
    <row r="571" spans="1:33" ht="15.75" customHeight="1" x14ac:dyDescent="0.1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row>
    <row r="572" spans="1:33" ht="15.75" customHeight="1" x14ac:dyDescent="0.1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row>
    <row r="573" spans="1:33" ht="15.75" customHeight="1" x14ac:dyDescent="0.1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row>
    <row r="574" spans="1:33" ht="15.75" customHeight="1" x14ac:dyDescent="0.1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row>
    <row r="575" spans="1:33" ht="15.75" customHeight="1" x14ac:dyDescent="0.1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row>
    <row r="576" spans="1:33" ht="15.75" customHeight="1" x14ac:dyDescent="0.1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row>
    <row r="577" spans="1:33" ht="15.75" customHeight="1" x14ac:dyDescent="0.1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row>
    <row r="578" spans="1:33" ht="15.75" customHeight="1" x14ac:dyDescent="0.1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row>
    <row r="579" spans="1:33" ht="15.75" customHeight="1" x14ac:dyDescent="0.1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row>
    <row r="580" spans="1:33" ht="15.75" customHeight="1" x14ac:dyDescent="0.1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row>
    <row r="581" spans="1:33" ht="15.75" customHeight="1" x14ac:dyDescent="0.1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row>
    <row r="582" spans="1:33" ht="15.75" customHeight="1" x14ac:dyDescent="0.1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row>
    <row r="583" spans="1:33" ht="15.75" customHeight="1" x14ac:dyDescent="0.1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row>
    <row r="584" spans="1:33" ht="15.75" customHeight="1" x14ac:dyDescent="0.1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row>
    <row r="585" spans="1:33" ht="15.75" customHeight="1" x14ac:dyDescent="0.1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row>
    <row r="586" spans="1:33" ht="15.75" customHeight="1" x14ac:dyDescent="0.1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row>
    <row r="587" spans="1:33" ht="15.75" customHeight="1" x14ac:dyDescent="0.1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row>
    <row r="588" spans="1:33" ht="15.75" customHeight="1" x14ac:dyDescent="0.1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row>
    <row r="589" spans="1:33" ht="15.75" customHeight="1" x14ac:dyDescent="0.1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row>
    <row r="590" spans="1:33" ht="15.75" customHeight="1" x14ac:dyDescent="0.1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row>
    <row r="591" spans="1:33" ht="15.75" customHeight="1" x14ac:dyDescent="0.1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row>
    <row r="592" spans="1:33" ht="15.75" customHeight="1" x14ac:dyDescent="0.1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row>
    <row r="593" spans="1:33" ht="15.75" customHeight="1" x14ac:dyDescent="0.1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row>
    <row r="594" spans="1:33" ht="15.75" customHeight="1" x14ac:dyDescent="0.1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row>
    <row r="595" spans="1:33" ht="15.75" customHeight="1" x14ac:dyDescent="0.1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row>
    <row r="596" spans="1:33" ht="15.75" customHeight="1" x14ac:dyDescent="0.1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row>
    <row r="597" spans="1:33" ht="15.75" customHeight="1" x14ac:dyDescent="0.1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row>
    <row r="598" spans="1:33" ht="15.75" customHeight="1" x14ac:dyDescent="0.1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row>
    <row r="599" spans="1:33" ht="15.75" customHeight="1" x14ac:dyDescent="0.1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row>
    <row r="600" spans="1:33" ht="15.75" customHeight="1" x14ac:dyDescent="0.1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row>
    <row r="601" spans="1:33" ht="15.75" customHeight="1" x14ac:dyDescent="0.1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row>
    <row r="602" spans="1:33" ht="15.75" customHeight="1" x14ac:dyDescent="0.1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row>
    <row r="603" spans="1:33" ht="15.75" customHeight="1" x14ac:dyDescent="0.1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row>
    <row r="604" spans="1:33" ht="15.75" customHeight="1" x14ac:dyDescent="0.1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row>
    <row r="605" spans="1:33" ht="15.75" customHeight="1" x14ac:dyDescent="0.1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row>
    <row r="606" spans="1:33" ht="15.75" customHeight="1" x14ac:dyDescent="0.1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row>
    <row r="607" spans="1:33" ht="15.75" customHeight="1" x14ac:dyDescent="0.1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row>
    <row r="608" spans="1:33" ht="15.75" customHeight="1" x14ac:dyDescent="0.1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row>
    <row r="609" spans="1:33" ht="15.75" customHeight="1" x14ac:dyDescent="0.1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row>
    <row r="610" spans="1:33" ht="15.75" customHeight="1" x14ac:dyDescent="0.1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row>
    <row r="611" spans="1:33" ht="15.75" customHeight="1" x14ac:dyDescent="0.1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row>
    <row r="612" spans="1:33" ht="15.75" customHeight="1" x14ac:dyDescent="0.1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row>
    <row r="613" spans="1:33" ht="15.75" customHeight="1" x14ac:dyDescent="0.1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row>
    <row r="614" spans="1:33" ht="15.75" customHeight="1" x14ac:dyDescent="0.1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row>
    <row r="615" spans="1:33" ht="15.75" customHeight="1" x14ac:dyDescent="0.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row>
    <row r="616" spans="1:33" ht="15.75" customHeight="1" x14ac:dyDescent="0.1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row>
    <row r="617" spans="1:33" ht="15.75" customHeight="1" x14ac:dyDescent="0.1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row>
    <row r="618" spans="1:33" ht="15.75" customHeight="1" x14ac:dyDescent="0.1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row>
    <row r="619" spans="1:33" ht="15.75" customHeight="1" x14ac:dyDescent="0.1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row>
    <row r="620" spans="1:33" ht="15.75" customHeight="1" x14ac:dyDescent="0.1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row>
    <row r="621" spans="1:33" ht="15.75" customHeight="1" x14ac:dyDescent="0.1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row>
    <row r="622" spans="1:33" ht="15.75" customHeight="1" x14ac:dyDescent="0.1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row>
    <row r="623" spans="1:33" ht="15.75" customHeight="1" x14ac:dyDescent="0.1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row>
    <row r="624" spans="1:33" ht="15.75" customHeight="1" x14ac:dyDescent="0.1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row>
    <row r="625" spans="1:33" ht="15.75" customHeight="1" x14ac:dyDescent="0.1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row>
    <row r="626" spans="1:33" ht="15.75" customHeight="1" x14ac:dyDescent="0.1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row>
    <row r="627" spans="1:33" ht="15.75" customHeight="1" x14ac:dyDescent="0.1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row>
    <row r="628" spans="1:33" ht="15.75" customHeight="1" x14ac:dyDescent="0.1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row>
    <row r="629" spans="1:33" ht="15.75" customHeight="1" x14ac:dyDescent="0.1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row>
    <row r="630" spans="1:33" ht="15.75" customHeight="1" x14ac:dyDescent="0.1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row>
    <row r="631" spans="1:33" ht="15.75" customHeight="1" x14ac:dyDescent="0.1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row>
    <row r="632" spans="1:33" ht="15.75" customHeight="1" x14ac:dyDescent="0.1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row>
    <row r="633" spans="1:33" ht="15.75" customHeight="1" x14ac:dyDescent="0.1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row>
    <row r="634" spans="1:33" ht="15.75" customHeight="1" x14ac:dyDescent="0.1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row>
    <row r="635" spans="1:33" ht="15.75" customHeight="1" x14ac:dyDescent="0.1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row>
    <row r="636" spans="1:33" ht="15.75" customHeight="1" x14ac:dyDescent="0.1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row>
    <row r="637" spans="1:33" ht="15.75" customHeight="1" x14ac:dyDescent="0.1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row>
    <row r="638" spans="1:33" ht="15.75" customHeight="1" x14ac:dyDescent="0.1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row>
    <row r="639" spans="1:33" ht="15.75" customHeight="1" x14ac:dyDescent="0.1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row>
    <row r="640" spans="1:33" ht="15.75" customHeight="1" x14ac:dyDescent="0.1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row>
    <row r="641" spans="1:33" ht="15.75" customHeight="1" x14ac:dyDescent="0.1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row>
    <row r="642" spans="1:33" ht="15.75" customHeight="1" x14ac:dyDescent="0.1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row>
    <row r="643" spans="1:33" ht="15.75" customHeight="1" x14ac:dyDescent="0.1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row>
    <row r="644" spans="1:33" ht="15.75" customHeight="1" x14ac:dyDescent="0.1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row>
    <row r="645" spans="1:33" ht="15.75" customHeight="1" x14ac:dyDescent="0.1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row>
    <row r="646" spans="1:33" ht="15.75" customHeight="1" x14ac:dyDescent="0.1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row>
    <row r="647" spans="1:33" ht="15.75" customHeight="1" x14ac:dyDescent="0.1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row>
    <row r="648" spans="1:33" ht="15.75" customHeight="1" x14ac:dyDescent="0.1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row>
    <row r="649" spans="1:33" ht="15.75" customHeight="1" x14ac:dyDescent="0.1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row>
    <row r="650" spans="1:33" ht="15.75" customHeight="1" x14ac:dyDescent="0.1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row>
    <row r="651" spans="1:33" ht="15.75" customHeight="1" x14ac:dyDescent="0.1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row>
    <row r="652" spans="1:33" ht="15.75" customHeight="1" x14ac:dyDescent="0.1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row>
    <row r="653" spans="1:33" ht="15.75" customHeight="1" x14ac:dyDescent="0.1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row>
    <row r="654" spans="1:33" ht="15.75" customHeight="1" x14ac:dyDescent="0.1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row>
    <row r="655" spans="1:33" ht="15.75" customHeight="1" x14ac:dyDescent="0.1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row>
    <row r="656" spans="1:33" ht="15.75" customHeight="1" x14ac:dyDescent="0.1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row>
    <row r="657" spans="1:33" ht="15.75" customHeight="1" x14ac:dyDescent="0.1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row>
    <row r="658" spans="1:33" ht="15.75" customHeight="1" x14ac:dyDescent="0.1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row>
    <row r="659" spans="1:33" ht="15.75" customHeight="1" x14ac:dyDescent="0.1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row>
    <row r="660" spans="1:33" ht="15.75" customHeight="1" x14ac:dyDescent="0.1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row>
    <row r="661" spans="1:33" ht="15.75" customHeight="1" x14ac:dyDescent="0.1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row>
    <row r="662" spans="1:33" ht="15.75" customHeight="1" x14ac:dyDescent="0.1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row>
    <row r="663" spans="1:33" ht="15.75" customHeight="1" x14ac:dyDescent="0.1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row>
    <row r="664" spans="1:33" ht="15.75" customHeight="1" x14ac:dyDescent="0.1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row>
    <row r="665" spans="1:33" ht="15.75" customHeight="1" x14ac:dyDescent="0.1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row>
    <row r="666" spans="1:33" ht="15.75" customHeight="1" x14ac:dyDescent="0.1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row>
    <row r="667" spans="1:33" ht="15.75" customHeight="1" x14ac:dyDescent="0.1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row>
    <row r="668" spans="1:33" ht="15.75" customHeight="1" x14ac:dyDescent="0.1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row>
    <row r="669" spans="1:33" ht="15.75" customHeight="1" x14ac:dyDescent="0.1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row>
    <row r="670" spans="1:33" ht="15.75" customHeight="1" x14ac:dyDescent="0.1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row>
    <row r="671" spans="1:33" ht="15.75" customHeight="1" x14ac:dyDescent="0.1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row>
    <row r="672" spans="1:33" ht="15.75" customHeight="1" x14ac:dyDescent="0.1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row>
    <row r="673" spans="1:33" ht="15.75" customHeight="1" x14ac:dyDescent="0.1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row>
    <row r="674" spans="1:33" ht="15.75" customHeight="1" x14ac:dyDescent="0.1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row>
    <row r="675" spans="1:33" ht="15.75" customHeight="1" x14ac:dyDescent="0.1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row>
    <row r="676" spans="1:33" ht="15.75" customHeight="1" x14ac:dyDescent="0.1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row>
    <row r="677" spans="1:33" ht="15.75" customHeight="1" x14ac:dyDescent="0.1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row>
    <row r="678" spans="1:33" ht="15.75" customHeight="1" x14ac:dyDescent="0.1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row>
    <row r="679" spans="1:33" ht="15.75" customHeight="1" x14ac:dyDescent="0.1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row>
    <row r="680" spans="1:33" ht="15.75" customHeight="1" x14ac:dyDescent="0.1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row>
    <row r="681" spans="1:33" ht="15.75" customHeight="1" x14ac:dyDescent="0.1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row>
    <row r="682" spans="1:33" ht="15.75" customHeight="1" x14ac:dyDescent="0.1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row>
    <row r="683" spans="1:33" ht="15.75" customHeight="1" x14ac:dyDescent="0.1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row>
    <row r="684" spans="1:33" ht="15.75" customHeight="1" x14ac:dyDescent="0.1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row>
    <row r="685" spans="1:33" ht="15.75" customHeight="1" x14ac:dyDescent="0.1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row>
    <row r="686" spans="1:33" ht="15.75" customHeight="1" x14ac:dyDescent="0.1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row>
    <row r="687" spans="1:33" ht="15.75" customHeight="1" x14ac:dyDescent="0.1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row>
    <row r="688" spans="1:33" ht="15.75" customHeight="1" x14ac:dyDescent="0.1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row>
    <row r="689" spans="1:33" ht="15.75" customHeight="1" x14ac:dyDescent="0.1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row>
    <row r="690" spans="1:33" ht="15.75" customHeight="1" x14ac:dyDescent="0.1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row>
    <row r="691" spans="1:33" ht="15.75" customHeight="1" x14ac:dyDescent="0.1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row>
    <row r="692" spans="1:33" ht="15.75" customHeight="1" x14ac:dyDescent="0.1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row>
    <row r="693" spans="1:33" ht="15.75" customHeight="1" x14ac:dyDescent="0.1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row>
    <row r="694" spans="1:33" ht="15.75" customHeight="1" x14ac:dyDescent="0.1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row>
    <row r="695" spans="1:33" ht="15.75" customHeight="1" x14ac:dyDescent="0.1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row>
    <row r="696" spans="1:33" ht="15.75" customHeight="1" x14ac:dyDescent="0.1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row>
    <row r="697" spans="1:33" ht="15.75" customHeight="1" x14ac:dyDescent="0.1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row>
    <row r="698" spans="1:33" ht="15.75" customHeight="1" x14ac:dyDescent="0.1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row>
    <row r="699" spans="1:33" ht="15.75" customHeight="1" x14ac:dyDescent="0.1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row>
    <row r="700" spans="1:33" ht="15.75" customHeight="1" x14ac:dyDescent="0.1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row>
    <row r="701" spans="1:33" ht="15.75" customHeight="1" x14ac:dyDescent="0.1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row>
    <row r="702" spans="1:33" ht="15.75" customHeight="1" x14ac:dyDescent="0.1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row>
    <row r="703" spans="1:33" ht="15.75" customHeight="1" x14ac:dyDescent="0.1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row>
    <row r="704" spans="1:33" ht="15.75" customHeight="1" x14ac:dyDescent="0.1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row>
    <row r="705" spans="1:33" ht="15.75" customHeight="1" x14ac:dyDescent="0.1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row>
    <row r="706" spans="1:33" ht="15.75" customHeight="1" x14ac:dyDescent="0.1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row>
    <row r="707" spans="1:33" ht="15.75" customHeight="1" x14ac:dyDescent="0.1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row>
    <row r="708" spans="1:33" ht="15.75" customHeight="1" x14ac:dyDescent="0.1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row>
    <row r="709" spans="1:33" ht="15.75" customHeight="1" x14ac:dyDescent="0.1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row>
    <row r="710" spans="1:33" ht="15.75" customHeight="1" x14ac:dyDescent="0.1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row>
    <row r="711" spans="1:33" ht="15.75" customHeight="1" x14ac:dyDescent="0.1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row>
    <row r="712" spans="1:33" ht="15.75" customHeight="1" x14ac:dyDescent="0.1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row>
    <row r="713" spans="1:33" ht="15.75" customHeight="1" x14ac:dyDescent="0.1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row>
    <row r="714" spans="1:33" ht="15.75" customHeight="1" x14ac:dyDescent="0.1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row>
    <row r="715" spans="1:33" ht="15.75" customHeight="1" x14ac:dyDescent="0.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row>
    <row r="716" spans="1:33" ht="15.75" customHeight="1" x14ac:dyDescent="0.1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row>
    <row r="717" spans="1:33" ht="15.75" customHeight="1" x14ac:dyDescent="0.1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row>
    <row r="718" spans="1:33" ht="15.75" customHeight="1" x14ac:dyDescent="0.1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row>
    <row r="719" spans="1:33" ht="15.75" customHeight="1" x14ac:dyDescent="0.1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row>
    <row r="720" spans="1:33" ht="15.75" customHeight="1" x14ac:dyDescent="0.1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row>
    <row r="721" spans="1:33" ht="15.75" customHeight="1" x14ac:dyDescent="0.1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row>
    <row r="722" spans="1:33" ht="15.75" customHeight="1" x14ac:dyDescent="0.1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row>
    <row r="723" spans="1:33" ht="15.75" customHeight="1" x14ac:dyDescent="0.1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row>
    <row r="724" spans="1:33" ht="15.75" customHeight="1" x14ac:dyDescent="0.1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row>
    <row r="725" spans="1:33" ht="15.75" customHeight="1" x14ac:dyDescent="0.1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row>
    <row r="726" spans="1:33" ht="15.75" customHeight="1" x14ac:dyDescent="0.1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row>
    <row r="727" spans="1:33" ht="15.75" customHeight="1" x14ac:dyDescent="0.1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row>
    <row r="728" spans="1:33" ht="15.75" customHeight="1" x14ac:dyDescent="0.1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row>
    <row r="729" spans="1:33" ht="15.75" customHeight="1" x14ac:dyDescent="0.1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row>
    <row r="730" spans="1:33" ht="15.75" customHeight="1" x14ac:dyDescent="0.1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row>
    <row r="731" spans="1:33" ht="15.75" customHeight="1" x14ac:dyDescent="0.1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row>
    <row r="732" spans="1:33" ht="15.75" customHeight="1" x14ac:dyDescent="0.1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row>
    <row r="733" spans="1:33" ht="15.75" customHeight="1" x14ac:dyDescent="0.1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row>
    <row r="734" spans="1:33" ht="15.75" customHeight="1" x14ac:dyDescent="0.1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row>
    <row r="735" spans="1:33" ht="15.75" customHeight="1" x14ac:dyDescent="0.1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row>
    <row r="736" spans="1:33" ht="15.75" customHeight="1" x14ac:dyDescent="0.1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row>
    <row r="737" spans="1:33" ht="15.75" customHeight="1" x14ac:dyDescent="0.1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row>
    <row r="738" spans="1:33" ht="15.75" customHeight="1" x14ac:dyDescent="0.1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row>
    <row r="739" spans="1:33" ht="15.75" customHeight="1" x14ac:dyDescent="0.1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row>
    <row r="740" spans="1:33" ht="15.75" customHeight="1" x14ac:dyDescent="0.1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row>
    <row r="741" spans="1:33" ht="15.75" customHeight="1" x14ac:dyDescent="0.1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row>
    <row r="742" spans="1:33" ht="15.75" customHeight="1" x14ac:dyDescent="0.1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row>
    <row r="743" spans="1:33" ht="15.75" customHeight="1" x14ac:dyDescent="0.1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row>
    <row r="744" spans="1:33" ht="15.75" customHeight="1" x14ac:dyDescent="0.1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row>
    <row r="745" spans="1:33" ht="15.75" customHeight="1" x14ac:dyDescent="0.1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row>
    <row r="746" spans="1:33" ht="15.75" customHeight="1" x14ac:dyDescent="0.1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row>
    <row r="747" spans="1:33" ht="15.75" customHeight="1" x14ac:dyDescent="0.1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row>
    <row r="748" spans="1:33" ht="15.75" customHeight="1" x14ac:dyDescent="0.1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row>
    <row r="749" spans="1:33" ht="15.75" customHeight="1" x14ac:dyDescent="0.1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row>
    <row r="750" spans="1:33" ht="15.75" customHeight="1" x14ac:dyDescent="0.1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row>
    <row r="751" spans="1:33" ht="15.75" customHeight="1" x14ac:dyDescent="0.1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row>
    <row r="752" spans="1:33" ht="15.75" customHeight="1" x14ac:dyDescent="0.1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row>
    <row r="753" spans="1:33" ht="15.75" customHeight="1" x14ac:dyDescent="0.1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row>
    <row r="754" spans="1:33" ht="15.75" customHeight="1" x14ac:dyDescent="0.1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row>
    <row r="755" spans="1:33" ht="15.75" customHeight="1" x14ac:dyDescent="0.1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row>
    <row r="756" spans="1:33" ht="15.75" customHeight="1" x14ac:dyDescent="0.1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row>
    <row r="757" spans="1:33" ht="15.75" customHeight="1" x14ac:dyDescent="0.1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row>
    <row r="758" spans="1:33" ht="15.75" customHeight="1" x14ac:dyDescent="0.1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row>
    <row r="759" spans="1:33" ht="15.75" customHeight="1" x14ac:dyDescent="0.1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row>
    <row r="760" spans="1:33" ht="15.75" customHeight="1" x14ac:dyDescent="0.1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row>
    <row r="761" spans="1:33" ht="15.75" customHeight="1" x14ac:dyDescent="0.1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row>
    <row r="762" spans="1:33" ht="15.75" customHeight="1" x14ac:dyDescent="0.1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row>
    <row r="763" spans="1:33" ht="15.75" customHeight="1" x14ac:dyDescent="0.1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row>
    <row r="764" spans="1:33" ht="15.75" customHeight="1" x14ac:dyDescent="0.1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row>
    <row r="765" spans="1:33" ht="15.75" customHeight="1" x14ac:dyDescent="0.1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row>
    <row r="766" spans="1:33" ht="15.75" customHeight="1" x14ac:dyDescent="0.1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row>
    <row r="767" spans="1:33" ht="15.75" customHeight="1" x14ac:dyDescent="0.1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row>
    <row r="768" spans="1:33" ht="15.75" customHeight="1" x14ac:dyDescent="0.1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row>
    <row r="769" spans="1:33" ht="15.75" customHeight="1" x14ac:dyDescent="0.1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row>
    <row r="770" spans="1:33" ht="15.75" customHeight="1" x14ac:dyDescent="0.1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row>
    <row r="771" spans="1:33" ht="15.75" customHeight="1" x14ac:dyDescent="0.1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row>
    <row r="772" spans="1:33" ht="15.75" customHeight="1" x14ac:dyDescent="0.1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row>
    <row r="773" spans="1:33" ht="15.75" customHeight="1" x14ac:dyDescent="0.1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row>
    <row r="774" spans="1:33" ht="15.75" customHeight="1" x14ac:dyDescent="0.1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row>
    <row r="775" spans="1:33" ht="15.75" customHeight="1" x14ac:dyDescent="0.1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row>
    <row r="776" spans="1:33" ht="15.75" customHeight="1" x14ac:dyDescent="0.1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row>
    <row r="777" spans="1:33" ht="15.75" customHeight="1" x14ac:dyDescent="0.1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row>
    <row r="778" spans="1:33" ht="15.75" customHeight="1" x14ac:dyDescent="0.1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row>
    <row r="779" spans="1:33" ht="15.75" customHeight="1" x14ac:dyDescent="0.1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row>
    <row r="780" spans="1:33" ht="15.75" customHeight="1" x14ac:dyDescent="0.1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row>
    <row r="781" spans="1:33" ht="15.75" customHeight="1" x14ac:dyDescent="0.1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row>
    <row r="782" spans="1:33" ht="15.75" customHeight="1" x14ac:dyDescent="0.1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row>
    <row r="783" spans="1:33" ht="15.75" customHeight="1" x14ac:dyDescent="0.1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row>
    <row r="784" spans="1:33" ht="15.75" customHeight="1" x14ac:dyDescent="0.1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row>
    <row r="785" spans="1:33" ht="15.75" customHeight="1" x14ac:dyDescent="0.1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row>
    <row r="786" spans="1:33" ht="15.75" customHeight="1" x14ac:dyDescent="0.1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row>
    <row r="787" spans="1:33" ht="15.75" customHeight="1" x14ac:dyDescent="0.1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row>
    <row r="788" spans="1:33" ht="15.75" customHeight="1" x14ac:dyDescent="0.1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row>
    <row r="789" spans="1:33" ht="15.75" customHeight="1" x14ac:dyDescent="0.1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row>
    <row r="790" spans="1:33" ht="15.75" customHeight="1" x14ac:dyDescent="0.1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row>
    <row r="791" spans="1:33" ht="15.75" customHeight="1" x14ac:dyDescent="0.1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row>
    <row r="792" spans="1:33" ht="15.75" customHeight="1" x14ac:dyDescent="0.1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row>
    <row r="793" spans="1:33" ht="15.75" customHeight="1" x14ac:dyDescent="0.1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row>
    <row r="794" spans="1:33" ht="15.75" customHeight="1" x14ac:dyDescent="0.1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row>
    <row r="795" spans="1:33" ht="15.75" customHeight="1" x14ac:dyDescent="0.1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row>
    <row r="796" spans="1:33" ht="15.75" customHeight="1" x14ac:dyDescent="0.1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row>
    <row r="797" spans="1:33" ht="15.75" customHeight="1" x14ac:dyDescent="0.1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row>
    <row r="798" spans="1:33" ht="15.75" customHeight="1" x14ac:dyDescent="0.1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row>
    <row r="799" spans="1:33" ht="15.75" customHeight="1" x14ac:dyDescent="0.1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row>
    <row r="800" spans="1:33" ht="15.75" customHeight="1" x14ac:dyDescent="0.1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row>
    <row r="801" spans="1:33" ht="15.75" customHeight="1" x14ac:dyDescent="0.1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row>
    <row r="802" spans="1:33" ht="15.75" customHeight="1" x14ac:dyDescent="0.1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row>
    <row r="803" spans="1:33" ht="15.75" customHeight="1" x14ac:dyDescent="0.1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row>
    <row r="804" spans="1:33" ht="15.75" customHeight="1" x14ac:dyDescent="0.1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row>
    <row r="805" spans="1:33" ht="15.75" customHeight="1" x14ac:dyDescent="0.1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row>
    <row r="806" spans="1:33" ht="15.75" customHeight="1" x14ac:dyDescent="0.1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row>
    <row r="807" spans="1:33" ht="15.75" customHeight="1" x14ac:dyDescent="0.1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row>
    <row r="808" spans="1:33" ht="15.75" customHeight="1" x14ac:dyDescent="0.1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row>
    <row r="809" spans="1:33" ht="15.75" customHeight="1" x14ac:dyDescent="0.1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row>
    <row r="810" spans="1:33" ht="15.75" customHeight="1" x14ac:dyDescent="0.1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row>
    <row r="811" spans="1:33" ht="15.75" customHeight="1" x14ac:dyDescent="0.1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row>
    <row r="812" spans="1:33" ht="15.75" customHeight="1" x14ac:dyDescent="0.1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row>
    <row r="813" spans="1:33" ht="15.75" customHeight="1" x14ac:dyDescent="0.1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row>
    <row r="814" spans="1:33" ht="15.75" customHeight="1" x14ac:dyDescent="0.1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row>
    <row r="815" spans="1:33" ht="15.75" customHeight="1" x14ac:dyDescent="0.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row>
    <row r="816" spans="1:33" ht="15.75" customHeight="1" x14ac:dyDescent="0.1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row>
    <row r="817" spans="1:33" ht="15.75" customHeight="1" x14ac:dyDescent="0.1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row>
    <row r="818" spans="1:33" ht="15.75" customHeight="1" x14ac:dyDescent="0.1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row>
    <row r="819" spans="1:33" ht="15.75" customHeight="1" x14ac:dyDescent="0.1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row>
    <row r="820" spans="1:33" ht="15.75" customHeight="1" x14ac:dyDescent="0.1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row>
    <row r="821" spans="1:33" ht="15.75" customHeight="1" x14ac:dyDescent="0.1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row>
    <row r="822" spans="1:33" ht="15.75" customHeight="1" x14ac:dyDescent="0.1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row>
    <row r="823" spans="1:33" ht="15.75" customHeight="1" x14ac:dyDescent="0.1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row>
    <row r="824" spans="1:33" ht="15.75" customHeight="1" x14ac:dyDescent="0.1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row>
    <row r="825" spans="1:33" ht="15.75" customHeight="1" x14ac:dyDescent="0.1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row>
    <row r="826" spans="1:33" ht="15.75" customHeight="1" x14ac:dyDescent="0.1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row>
    <row r="827" spans="1:33" ht="15.75" customHeight="1" x14ac:dyDescent="0.1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row>
    <row r="828" spans="1:33" ht="15.75" customHeight="1" x14ac:dyDescent="0.1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row>
    <row r="829" spans="1:33" ht="15.75" customHeight="1" x14ac:dyDescent="0.1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row>
    <row r="830" spans="1:33" ht="15.75" customHeight="1" x14ac:dyDescent="0.1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row>
    <row r="831" spans="1:33" ht="15.75" customHeight="1" x14ac:dyDescent="0.1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row>
    <row r="832" spans="1:33" ht="15.75" customHeight="1" x14ac:dyDescent="0.1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row>
    <row r="833" spans="1:33" ht="15.75" customHeight="1" x14ac:dyDescent="0.1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row>
    <row r="834" spans="1:33" ht="15.75" customHeight="1" x14ac:dyDescent="0.1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row>
    <row r="835" spans="1:33" ht="15.75" customHeight="1" x14ac:dyDescent="0.1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row>
    <row r="836" spans="1:33" ht="15.75" customHeight="1" x14ac:dyDescent="0.1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row>
    <row r="837" spans="1:33" ht="15.75" customHeight="1" x14ac:dyDescent="0.1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row>
    <row r="838" spans="1:33" ht="15.75" customHeight="1" x14ac:dyDescent="0.1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row>
    <row r="839" spans="1:33" ht="15.75" customHeight="1" x14ac:dyDescent="0.1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row>
    <row r="840" spans="1:33" ht="15.75" customHeight="1" x14ac:dyDescent="0.1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row>
    <row r="841" spans="1:33" ht="15.75" customHeight="1" x14ac:dyDescent="0.1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row>
    <row r="842" spans="1:33" ht="15.75" customHeight="1" x14ac:dyDescent="0.1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row>
    <row r="843" spans="1:33" ht="15.75" customHeight="1" x14ac:dyDescent="0.1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row>
    <row r="844" spans="1:33" ht="15.75" customHeight="1" x14ac:dyDescent="0.1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row>
    <row r="845" spans="1:33" ht="15.75" customHeight="1" x14ac:dyDescent="0.1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row>
    <row r="846" spans="1:33" ht="15.75" customHeight="1" x14ac:dyDescent="0.1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row>
    <row r="847" spans="1:33" ht="15.75" customHeight="1" x14ac:dyDescent="0.1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row>
    <row r="848" spans="1:33" ht="15.75" customHeight="1" x14ac:dyDescent="0.1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row>
    <row r="849" spans="1:33" ht="15.75" customHeight="1" x14ac:dyDescent="0.1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row>
    <row r="850" spans="1:33" ht="15.75" customHeight="1" x14ac:dyDescent="0.1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row>
    <row r="851" spans="1:33" ht="15.75" customHeight="1" x14ac:dyDescent="0.1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row>
    <row r="852" spans="1:33" ht="15.75" customHeight="1" x14ac:dyDescent="0.1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row>
    <row r="853" spans="1:33" ht="15.75" customHeight="1" x14ac:dyDescent="0.1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row>
    <row r="854" spans="1:33" ht="15.75" customHeight="1" x14ac:dyDescent="0.1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row>
    <row r="855" spans="1:33" ht="15.75" customHeight="1" x14ac:dyDescent="0.1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row>
    <row r="856" spans="1:33" ht="15.75" customHeight="1" x14ac:dyDescent="0.1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row>
    <row r="857" spans="1:33" ht="15.75" customHeight="1" x14ac:dyDescent="0.1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row>
    <row r="858" spans="1:33" ht="15.75" customHeight="1" x14ac:dyDescent="0.1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row>
    <row r="859" spans="1:33" ht="15.75" customHeight="1" x14ac:dyDescent="0.1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row>
    <row r="860" spans="1:33" ht="15.75" customHeight="1" x14ac:dyDescent="0.1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row>
    <row r="861" spans="1:33" ht="15.75" customHeight="1" x14ac:dyDescent="0.1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row>
    <row r="862" spans="1:33" ht="15.75" customHeight="1" x14ac:dyDescent="0.1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row>
    <row r="863" spans="1:33" ht="15.75" customHeight="1" x14ac:dyDescent="0.1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row>
    <row r="864" spans="1:33" ht="15.75" customHeight="1" x14ac:dyDescent="0.1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row>
    <row r="865" spans="1:33" ht="15.75" customHeight="1" x14ac:dyDescent="0.1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row>
    <row r="866" spans="1:33" ht="15.75" customHeight="1" x14ac:dyDescent="0.1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row>
    <row r="867" spans="1:33" ht="15.75" customHeight="1" x14ac:dyDescent="0.1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row>
    <row r="868" spans="1:33" ht="15.75" customHeight="1" x14ac:dyDescent="0.1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row>
    <row r="869" spans="1:33" ht="15.75" customHeight="1" x14ac:dyDescent="0.1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row>
    <row r="870" spans="1:33" ht="15.75" customHeight="1" x14ac:dyDescent="0.1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row>
    <row r="871" spans="1:33" ht="15.75" customHeight="1" x14ac:dyDescent="0.1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row>
    <row r="872" spans="1:33" ht="15.75" customHeight="1" x14ac:dyDescent="0.1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row>
    <row r="873" spans="1:33" ht="15.75" customHeight="1" x14ac:dyDescent="0.1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row>
    <row r="874" spans="1:33" ht="15.75" customHeight="1" x14ac:dyDescent="0.1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row>
    <row r="875" spans="1:33" ht="15.75" customHeight="1" x14ac:dyDescent="0.1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row>
    <row r="876" spans="1:33" ht="15.75" customHeight="1" x14ac:dyDescent="0.1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row>
    <row r="877" spans="1:33" ht="15.75" customHeight="1" x14ac:dyDescent="0.1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row>
    <row r="878" spans="1:33" ht="15.75" customHeight="1" x14ac:dyDescent="0.1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row>
    <row r="879" spans="1:33" ht="15.75" customHeight="1" x14ac:dyDescent="0.1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row>
    <row r="880" spans="1:33" ht="15.75" customHeight="1" x14ac:dyDescent="0.1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row>
    <row r="881" spans="1:33" ht="15.75" customHeight="1" x14ac:dyDescent="0.1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row>
    <row r="882" spans="1:33" ht="15.75" customHeight="1" x14ac:dyDescent="0.1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row>
    <row r="883" spans="1:33" ht="15.75" customHeight="1" x14ac:dyDescent="0.1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row>
    <row r="884" spans="1:33" ht="15.75" customHeight="1" x14ac:dyDescent="0.1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row>
    <row r="885" spans="1:33" ht="15.75" customHeight="1" x14ac:dyDescent="0.1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row>
    <row r="886" spans="1:33" ht="15.75" customHeight="1" x14ac:dyDescent="0.1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row>
    <row r="887" spans="1:33" ht="15.75" customHeight="1" x14ac:dyDescent="0.1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row>
    <row r="888" spans="1:33" ht="15.75" customHeight="1" x14ac:dyDescent="0.1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row>
    <row r="889" spans="1:33" ht="15.75" customHeight="1" x14ac:dyDescent="0.1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row>
    <row r="890" spans="1:33" ht="15.75" customHeight="1" x14ac:dyDescent="0.1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row>
    <row r="891" spans="1:33" ht="15.75" customHeight="1" x14ac:dyDescent="0.1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row>
    <row r="892" spans="1:33" ht="15.75" customHeight="1" x14ac:dyDescent="0.1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row>
    <row r="893" spans="1:33" ht="15.75" customHeight="1" x14ac:dyDescent="0.1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row>
    <row r="894" spans="1:33" ht="15.75" customHeight="1" x14ac:dyDescent="0.1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row>
    <row r="895" spans="1:33" ht="15.75" customHeight="1" x14ac:dyDescent="0.1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row>
    <row r="896" spans="1:33" ht="15.75" customHeight="1" x14ac:dyDescent="0.1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row>
    <row r="897" spans="1:33" ht="15.75" customHeight="1" x14ac:dyDescent="0.1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row>
    <row r="898" spans="1:33" ht="15.75" customHeight="1" x14ac:dyDescent="0.1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row>
    <row r="899" spans="1:33" ht="15.75" customHeight="1" x14ac:dyDescent="0.1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row>
    <row r="900" spans="1:33" ht="15.75" customHeight="1" x14ac:dyDescent="0.1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row>
    <row r="901" spans="1:33" ht="15.75" customHeight="1" x14ac:dyDescent="0.1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row>
    <row r="902" spans="1:33" ht="15.75" customHeight="1" x14ac:dyDescent="0.1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row>
    <row r="903" spans="1:33" ht="15.75" customHeight="1" x14ac:dyDescent="0.1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row>
    <row r="904" spans="1:33" ht="15.75" customHeight="1" x14ac:dyDescent="0.1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row>
    <row r="905" spans="1:33" ht="15.75" customHeight="1" x14ac:dyDescent="0.1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row>
    <row r="906" spans="1:33" ht="15.75" customHeight="1" x14ac:dyDescent="0.1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row>
    <row r="907" spans="1:33" ht="15.75" customHeight="1" x14ac:dyDescent="0.1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row>
    <row r="908" spans="1:33" ht="15.75" customHeight="1" x14ac:dyDescent="0.1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row>
    <row r="909" spans="1:33" ht="15.75" customHeight="1" x14ac:dyDescent="0.1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row>
    <row r="910" spans="1:33" ht="15.75" customHeight="1" x14ac:dyDescent="0.1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row>
    <row r="911" spans="1:33" ht="15.75" customHeight="1" x14ac:dyDescent="0.1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row>
    <row r="912" spans="1:33" ht="15.75" customHeight="1" x14ac:dyDescent="0.1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row>
    <row r="913" spans="1:33" ht="15.75" customHeight="1" x14ac:dyDescent="0.1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row>
    <row r="914" spans="1:33" ht="15.75" customHeight="1" x14ac:dyDescent="0.1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row>
    <row r="915" spans="1:33" ht="15.75" customHeight="1" x14ac:dyDescent="0.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row>
    <row r="916" spans="1:33" ht="15.75" customHeight="1" x14ac:dyDescent="0.1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row>
    <row r="917" spans="1:33" ht="15.75" customHeight="1" x14ac:dyDescent="0.1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row>
    <row r="918" spans="1:33" ht="15.75" customHeight="1" x14ac:dyDescent="0.1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row>
    <row r="919" spans="1:33" ht="15.75" customHeight="1" x14ac:dyDescent="0.1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row>
    <row r="920" spans="1:33" ht="15.75" customHeight="1" x14ac:dyDescent="0.1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row>
    <row r="921" spans="1:33" ht="15.75" customHeight="1" x14ac:dyDescent="0.1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row>
    <row r="922" spans="1:33" ht="15.75" customHeight="1" x14ac:dyDescent="0.1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row>
    <row r="923" spans="1:33" ht="15.75" customHeight="1" x14ac:dyDescent="0.1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row>
    <row r="924" spans="1:33" ht="15.75" customHeight="1" x14ac:dyDescent="0.1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row>
    <row r="925" spans="1:33" ht="15.75" customHeight="1" x14ac:dyDescent="0.1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row>
    <row r="926" spans="1:33" ht="15.75" customHeight="1" x14ac:dyDescent="0.1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row>
    <row r="927" spans="1:33" ht="15.75" customHeight="1" x14ac:dyDescent="0.1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row>
    <row r="928" spans="1:33" ht="15.75" customHeight="1" x14ac:dyDescent="0.1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row>
    <row r="929" spans="1:33" ht="15.75" customHeight="1" x14ac:dyDescent="0.1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row>
    <row r="930" spans="1:33" ht="15.75" customHeight="1" x14ac:dyDescent="0.1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row>
    <row r="931" spans="1:33" ht="15.75" customHeight="1" x14ac:dyDescent="0.1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row>
    <row r="932" spans="1:33" ht="15.75" customHeight="1" x14ac:dyDescent="0.1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row>
    <row r="933" spans="1:33" ht="15.75" customHeight="1" x14ac:dyDescent="0.1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row>
    <row r="934" spans="1:33" ht="15.75" customHeight="1" x14ac:dyDescent="0.1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row>
    <row r="935" spans="1:33" ht="15.75" customHeight="1" x14ac:dyDescent="0.1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row>
    <row r="936" spans="1:33" ht="15.75" customHeight="1" x14ac:dyDescent="0.1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row>
    <row r="937" spans="1:33" ht="15.75" customHeight="1" x14ac:dyDescent="0.1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row>
    <row r="938" spans="1:33" ht="15.75" customHeight="1" x14ac:dyDescent="0.1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row>
    <row r="939" spans="1:33" ht="15.75" customHeight="1" x14ac:dyDescent="0.1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row>
    <row r="940" spans="1:33" ht="15.75" customHeight="1" x14ac:dyDescent="0.1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row>
    <row r="941" spans="1:33" ht="15.75" customHeight="1" x14ac:dyDescent="0.1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row>
    <row r="942" spans="1:33" ht="15.75" customHeight="1" x14ac:dyDescent="0.1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row>
    <row r="943" spans="1:33" ht="15.75" customHeight="1" x14ac:dyDescent="0.1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row>
    <row r="944" spans="1:33" ht="15.75" customHeight="1" x14ac:dyDescent="0.1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row>
    <row r="945" spans="1:33" ht="15.75" customHeight="1" x14ac:dyDescent="0.1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row>
    <row r="946" spans="1:33" ht="15.75" customHeight="1" x14ac:dyDescent="0.1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row>
    <row r="947" spans="1:33" ht="15.75" customHeight="1" x14ac:dyDescent="0.1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row>
    <row r="948" spans="1:33" ht="15.75" customHeight="1" x14ac:dyDescent="0.1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row>
    <row r="949" spans="1:33" ht="15.75" customHeight="1" x14ac:dyDescent="0.1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row>
    <row r="950" spans="1:33" ht="15.75" customHeight="1" x14ac:dyDescent="0.1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row>
    <row r="951" spans="1:33" ht="15.75" customHeight="1" x14ac:dyDescent="0.1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row>
    <row r="952" spans="1:33" ht="15.75" customHeight="1" x14ac:dyDescent="0.1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row>
    <row r="953" spans="1:33" ht="15.75" customHeight="1" x14ac:dyDescent="0.1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row>
    <row r="954" spans="1:33" ht="15.75" customHeight="1" x14ac:dyDescent="0.1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row>
    <row r="955" spans="1:33" ht="15.75" customHeight="1" x14ac:dyDescent="0.1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row>
    <row r="956" spans="1:33" ht="15.75" customHeight="1" x14ac:dyDescent="0.1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row>
    <row r="957" spans="1:33" ht="15.75" customHeight="1" x14ac:dyDescent="0.1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row>
    <row r="958" spans="1:33" ht="15.75" customHeight="1" x14ac:dyDescent="0.1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row>
    <row r="959" spans="1:33" ht="15.75" customHeight="1" x14ac:dyDescent="0.1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row>
    <row r="960" spans="1:33" ht="15.75" customHeight="1" x14ac:dyDescent="0.1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row>
    <row r="961" spans="1:33" ht="15.75" customHeight="1" x14ac:dyDescent="0.1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row>
    <row r="962" spans="1:33" ht="15.75" customHeight="1" x14ac:dyDescent="0.1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row>
    <row r="963" spans="1:33" ht="15.75" customHeight="1" x14ac:dyDescent="0.1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row>
    <row r="964" spans="1:33" ht="15.75" customHeight="1" x14ac:dyDescent="0.1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row>
    <row r="965" spans="1:33" ht="15.75" customHeight="1" x14ac:dyDescent="0.1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row>
    <row r="966" spans="1:33" ht="15.75" customHeight="1" x14ac:dyDescent="0.1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row>
    <row r="967" spans="1:33" ht="15.75" customHeight="1" x14ac:dyDescent="0.1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row>
    <row r="968" spans="1:33" ht="15.75" customHeight="1" x14ac:dyDescent="0.1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row>
    <row r="969" spans="1:33" ht="15.75" customHeight="1" x14ac:dyDescent="0.1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row>
    <row r="970" spans="1:33" ht="15.75" customHeight="1" x14ac:dyDescent="0.1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row>
    <row r="971" spans="1:33" ht="15.75" customHeight="1" x14ac:dyDescent="0.1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row>
    <row r="972" spans="1:33" ht="15.75" customHeight="1" x14ac:dyDescent="0.1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row>
    <row r="973" spans="1:33" ht="15.75" customHeight="1" x14ac:dyDescent="0.1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row>
    <row r="974" spans="1:33" ht="15.75" customHeight="1" x14ac:dyDescent="0.1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row>
    <row r="975" spans="1:33" ht="15.75" customHeight="1" x14ac:dyDescent="0.1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row>
    <row r="976" spans="1:33" ht="15.75" customHeight="1" x14ac:dyDescent="0.1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row>
    <row r="977" spans="1:33" ht="15.75" customHeight="1" x14ac:dyDescent="0.1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row>
    <row r="978" spans="1:33" ht="15.75" customHeight="1" x14ac:dyDescent="0.1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row>
    <row r="979" spans="1:33" ht="15.75" customHeight="1" x14ac:dyDescent="0.1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row>
    <row r="980" spans="1:33" ht="15.75" customHeight="1" x14ac:dyDescent="0.1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row>
    <row r="981" spans="1:33" ht="15.75" customHeight="1" x14ac:dyDescent="0.1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row>
    <row r="982" spans="1:33" ht="15.75" customHeight="1" x14ac:dyDescent="0.1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row>
    <row r="983" spans="1:33" ht="15.75" customHeight="1" x14ac:dyDescent="0.1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row>
    <row r="984" spans="1:33" ht="15.75" customHeight="1" x14ac:dyDescent="0.1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row>
    <row r="985" spans="1:33" ht="15.75" customHeight="1" x14ac:dyDescent="0.1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row>
    <row r="986" spans="1:33" ht="15.75" customHeight="1" x14ac:dyDescent="0.1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row>
    <row r="987" spans="1:33" ht="15.75" customHeight="1" x14ac:dyDescent="0.1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row>
    <row r="988" spans="1:33" ht="15.75" customHeight="1" x14ac:dyDescent="0.1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row>
    <row r="989" spans="1:33" ht="15.75" customHeight="1" x14ac:dyDescent="0.1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row>
    <row r="990" spans="1:33" ht="15.75" customHeight="1" x14ac:dyDescent="0.1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row>
    <row r="991" spans="1:33" ht="15.75" customHeight="1" x14ac:dyDescent="0.1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row>
    <row r="992" spans="1:33" ht="15.75" customHeight="1" x14ac:dyDescent="0.1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row>
    <row r="993" spans="1:33" ht="15.75" customHeight="1" x14ac:dyDescent="0.1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row>
  </sheetData>
  <mergeCells count="8">
    <mergeCell ref="A1:A2"/>
    <mergeCell ref="B1:B2"/>
    <mergeCell ref="C1:I1"/>
    <mergeCell ref="J1:N1"/>
    <mergeCell ref="O1:U1"/>
    <mergeCell ref="V1:AC1"/>
    <mergeCell ref="AD1:AG1"/>
    <mergeCell ref="AG73:AG74"/>
  </mergeCells>
  <dataValidations count="16">
    <dataValidation type="list" allowBlank="1" showErrorMessage="1" sqref="V110:V111 AD110:AD111" xr:uid="{00000000-0002-0000-0000-000000000000}">
      <formula1>"Tdap 28-38w / NA,Tdap 30-36w / CA"</formula1>
    </dataValidation>
    <dataValidation type="list" allowBlank="1" showErrorMessage="1" sqref="C3:C102 C106:C111 C114:C120 C123:C136 C139 C143:C145" xr:uid="{00000000-0002-0000-0000-000001000000}">
      <formula1>"RCT,NRS - comparative,NRS - single arm"</formula1>
    </dataValidation>
    <dataValidation type="list" allowBlank="1" showErrorMessage="1" sqref="V81:V86 AD81:AD86" xr:uid="{00000000-0002-0000-0000-000002000000}">
      <formula1>"MarketScan- Tdap (pregnancy),MarketScan- Tdap (delivery),MarketScan- No Tdap,MAX- Tdap (pregnancy),MAX- Tdap (delivery),Max- No Tdap"</formula1>
    </dataValidation>
    <dataValidation type="list" allowBlank="1" showErrorMessage="1" sqref="V42 AD42 V132 AD132" xr:uid="{00000000-0002-0000-0000-000003000000}">
      <formula1>"Tdap,TT"</formula1>
    </dataValidation>
    <dataValidation type="list" allowBlank="1" showErrorMessage="1" sqref="V100:V101 AD100:AD101" xr:uid="{00000000-0002-0000-0000-000004000000}">
      <formula1>"Tdap,Td"</formula1>
    </dataValidation>
    <dataValidation type="list" allowBlank="1" showErrorMessage="1" sqref="V140:V142 AD140:AD142" xr:uid="{00000000-0002-0000-0000-000005000000}">
      <formula1>"Tdap (≤23 weeks + 6 days),Tdap (24–27 weeks + 6 days),Tdap (28–31 weeks + 6 days)"</formula1>
    </dataValidation>
    <dataValidation type="list" allowBlank="1" showErrorMessage="1" sqref="V69:V72 AD69:AD72" xr:uid="{00000000-0002-0000-0000-000006000000}">
      <formula1>"Tdap - Pregnancy,No Tdap - Pregnany,Tdap - prenatal,No Tdap- prenatal"</formula1>
    </dataValidation>
    <dataValidation type="list" allowBlank="1" showErrorMessage="1" sqref="V5:V6 AD5:AD6 V108:V109 AD108:AD109 V116:V118 AD116:AD118 V124 AD124" xr:uid="{00000000-0002-0000-0000-000007000000}">
      <formula1>"Vaccinated,Unvaccinated"</formula1>
    </dataValidation>
    <dataValidation type="list" allowBlank="1" showErrorMessage="1" sqref="V35:V36 AD35:AD36" xr:uid="{00000000-0002-0000-0000-000008000000}">
      <formula1>"Tdap 28-32 WG,Tdap 33-36 WG"</formula1>
    </dataValidation>
    <dataValidation type="list" allowBlank="1" showErrorMessage="1" sqref="D3:D101 D106:D111 D114:D120 D123:D136 D139 D143:D145" xr:uid="{00000000-0002-0000-0000-000009000000}">
      <formula1>"Tdap,DTaP,Other (describe in notes)"</formula1>
    </dataValidation>
    <dataValidation type="list" allowBlank="1" showErrorMessage="1" sqref="V97:V99 AD97:AD99" xr:uid="{00000000-0002-0000-0000-00000A000000}">
      <formula1>"Tdap 14+,Tdap 1-13,No Tdap"</formula1>
    </dataValidation>
    <dataValidation type="list" allowBlank="1" showErrorMessage="1" sqref="V20 AD20" xr:uid="{00000000-0002-0000-0000-00000B000000}">
      <formula1>"Tdap,No Tdap - TT"</formula1>
    </dataValidation>
    <dataValidation type="list" allowBlank="1" showErrorMessage="1" sqref="V126:V127 AD126:AD127" xr:uid="{00000000-0002-0000-0000-00000C000000}">
      <formula1>"Tdap (Prospective US),Tdap (Prospective World)"</formula1>
    </dataValidation>
    <dataValidation type="list" allowBlank="1" showErrorMessage="1" sqref="V3:V4 AD3:AD4 V7:V19 AD7:AD19 V21:V34 AD21:AD34 V37:V41 AD37:AD41 V43:V46 AD43:AD46 V51:V54 AD51:AD54 V59:V68 AD59:AD68 V73:V80 AD73:AD80 V87:V96 AD87:AD96 V106:V107 AD106:AD107 V114:V115 AD112:AD115 V119:V120 AD119:AD120 V123 AD123 V125 AD125 V130:V131 AD130:AD131 V133:V136 V139 AD133:AD139 V143:V145 AD143:AD145" xr:uid="{00000000-0002-0000-0000-00000D000000}">
      <formula1>"Tdap,No Tdap"</formula1>
    </dataValidation>
    <dataValidation type="list" allowBlank="1" showErrorMessage="1" sqref="V47:V50 AD47:AD50 V55:V58 AD55:AD58" xr:uid="{00000000-0002-0000-0000-00000E000000}">
      <formula1>"Tdap (Term),No Tdap (Term),Tdap (PT),No Tdap (PT)"</formula1>
    </dataValidation>
    <dataValidation type="list" allowBlank="1" showErrorMessage="1" sqref="V128:V129 AD128:AD129" xr:uid="{00000000-0002-0000-0000-00000F000000}">
      <formula1>"Vaccinated HIV+,Vaccinated HIV-"</formula1>
    </dataValidation>
  </dataValidations>
  <hyperlinks>
    <hyperlink ref="M61" r:id="rId1" xr:uid="{00000000-0004-0000-0000-000000000000}"/>
    <hyperlink ref="M69" r:id="rId2" xr:uid="{00000000-0004-0000-0000-000001000000}"/>
  </hyperlinks>
  <pageMargins left="0.7" right="0.7" top="0.75" bottom="0.75" header="0" footer="0"/>
  <pageSetup orientation="landscape"/>
  <tableParts count="5">
    <tablePart r:id="rId3"/>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P998"/>
  <sheetViews>
    <sheetView workbookViewId="0">
      <pane xSplit="2" ySplit="2" topLeftCell="C80" activePane="bottomRight" state="frozen"/>
      <selection pane="topRight" activeCell="C1" sqref="C1"/>
      <selection pane="bottomLeft" activeCell="A3" sqref="A3"/>
      <selection pane="bottomRight" activeCell="C3" sqref="C3"/>
    </sheetView>
  </sheetViews>
  <sheetFormatPr baseColWidth="10" defaultColWidth="12.6640625" defaultRowHeight="15" customHeight="1" x14ac:dyDescent="0.15"/>
  <cols>
    <col min="1" max="1" width="6.1640625" customWidth="1"/>
    <col min="2" max="2" width="15" customWidth="1"/>
    <col min="3" max="3" width="20.83203125" customWidth="1"/>
    <col min="4" max="4" width="12.1640625" customWidth="1"/>
    <col min="5" max="5" width="9.6640625" customWidth="1"/>
    <col min="6" max="6" width="28" customWidth="1"/>
    <col min="7" max="7" width="28.1640625" customWidth="1"/>
    <col min="8" max="8" width="16.1640625" customWidth="1"/>
    <col min="9" max="9" width="12.6640625" customWidth="1"/>
    <col min="10" max="10" width="9.6640625" customWidth="1"/>
    <col min="11" max="11" width="19.33203125" customWidth="1"/>
    <col min="12" max="12" width="26.5" customWidth="1"/>
    <col min="13" max="13" width="16.5" customWidth="1"/>
    <col min="14" max="14" width="4.83203125" customWidth="1"/>
    <col min="15" max="15" width="10.1640625" customWidth="1"/>
    <col min="16" max="16" width="19.33203125" customWidth="1"/>
    <col min="18" max="18" width="16.1640625" customWidth="1"/>
    <col min="19" max="19" width="4.1640625" customWidth="1"/>
    <col min="20" max="20" width="19" customWidth="1"/>
    <col min="21" max="21" width="17.83203125" customWidth="1"/>
    <col min="23" max="23" width="16.33203125" customWidth="1"/>
    <col min="24" max="24" width="4.1640625" customWidth="1"/>
    <col min="25" max="25" width="14.1640625" customWidth="1"/>
    <col min="26" max="26" width="15" customWidth="1"/>
    <col min="28" max="28" width="16.6640625" customWidth="1"/>
    <col min="29" max="29" width="5.33203125" customWidth="1"/>
    <col min="30" max="30" width="18.6640625" customWidth="1"/>
    <col min="31" max="31" width="18.1640625" customWidth="1"/>
    <col min="33" max="33" width="16.1640625" customWidth="1"/>
    <col min="34" max="34" width="4.5" customWidth="1"/>
    <col min="35" max="35" width="18.1640625" customWidth="1"/>
    <col min="36" max="36" width="16.6640625" customWidth="1"/>
    <col min="38" max="38" width="16" customWidth="1"/>
    <col min="39" max="39" width="3.6640625" customWidth="1"/>
    <col min="40" max="40" width="19.33203125" customWidth="1"/>
    <col min="41" max="41" width="17.1640625" customWidth="1"/>
  </cols>
  <sheetData>
    <row r="1" spans="1:42" ht="15.75" customHeight="1" x14ac:dyDescent="0.15">
      <c r="A1" s="66" t="s">
        <v>0</v>
      </c>
      <c r="B1" s="66" t="s">
        <v>1</v>
      </c>
      <c r="C1" s="69" t="s">
        <v>1260</v>
      </c>
      <c r="D1" s="61"/>
      <c r="E1" s="61"/>
      <c r="F1" s="62"/>
      <c r="G1" s="71" t="s">
        <v>1261</v>
      </c>
      <c r="H1" s="69" t="s">
        <v>1262</v>
      </c>
      <c r="I1" s="61"/>
      <c r="J1" s="61"/>
      <c r="K1" s="62"/>
      <c r="L1" s="71" t="s">
        <v>1261</v>
      </c>
      <c r="M1" s="69" t="s">
        <v>1263</v>
      </c>
      <c r="N1" s="61"/>
      <c r="O1" s="61"/>
      <c r="P1" s="62"/>
      <c r="Q1" s="71" t="s">
        <v>1261</v>
      </c>
      <c r="R1" s="69" t="s">
        <v>1264</v>
      </c>
      <c r="S1" s="61"/>
      <c r="T1" s="61"/>
      <c r="U1" s="62"/>
      <c r="V1" s="70" t="s">
        <v>1261</v>
      </c>
      <c r="W1" s="69" t="s">
        <v>1265</v>
      </c>
      <c r="X1" s="61"/>
      <c r="Y1" s="61"/>
      <c r="Z1" s="62"/>
      <c r="AA1" s="71" t="s">
        <v>1261</v>
      </c>
      <c r="AB1" s="69" t="s">
        <v>1266</v>
      </c>
      <c r="AC1" s="61"/>
      <c r="AD1" s="61"/>
      <c r="AE1" s="62"/>
      <c r="AF1" s="72" t="s">
        <v>1261</v>
      </c>
      <c r="AG1" s="69" t="s">
        <v>1267</v>
      </c>
      <c r="AH1" s="61"/>
      <c r="AI1" s="61"/>
      <c r="AJ1" s="62"/>
      <c r="AK1" s="73" t="s">
        <v>1261</v>
      </c>
      <c r="AL1" s="69" t="s">
        <v>1268</v>
      </c>
      <c r="AM1" s="61"/>
      <c r="AN1" s="61"/>
      <c r="AO1" s="62"/>
      <c r="AP1" s="72" t="s">
        <v>1261</v>
      </c>
    </row>
    <row r="2" spans="1:42" ht="15.75" customHeight="1" x14ac:dyDescent="0.15">
      <c r="A2" s="67"/>
      <c r="B2" s="67"/>
      <c r="C2" s="17" t="s">
        <v>26</v>
      </c>
      <c r="D2" s="17" t="s">
        <v>1269</v>
      </c>
      <c r="E2" s="17" t="s">
        <v>1270</v>
      </c>
      <c r="F2" s="17" t="s">
        <v>1271</v>
      </c>
      <c r="G2" s="67"/>
      <c r="H2" s="17" t="s">
        <v>26</v>
      </c>
      <c r="I2" s="17" t="s">
        <v>1269</v>
      </c>
      <c r="J2" s="17" t="s">
        <v>1272</v>
      </c>
      <c r="K2" s="17" t="s">
        <v>1273</v>
      </c>
      <c r="L2" s="67"/>
      <c r="M2" s="17" t="s">
        <v>26</v>
      </c>
      <c r="N2" s="17" t="s">
        <v>1269</v>
      </c>
      <c r="O2" s="17" t="s">
        <v>1272</v>
      </c>
      <c r="P2" s="17" t="s">
        <v>1273</v>
      </c>
      <c r="Q2" s="67"/>
      <c r="R2" s="17" t="s">
        <v>26</v>
      </c>
      <c r="S2" s="17" t="s">
        <v>1269</v>
      </c>
      <c r="T2" s="17" t="s">
        <v>1274</v>
      </c>
      <c r="U2" s="17" t="s">
        <v>1275</v>
      </c>
      <c r="V2" s="67"/>
      <c r="W2" s="17" t="s">
        <v>26</v>
      </c>
      <c r="X2" s="17" t="s">
        <v>1269</v>
      </c>
      <c r="Y2" s="17" t="s">
        <v>1274</v>
      </c>
      <c r="Z2" s="17" t="s">
        <v>1275</v>
      </c>
      <c r="AA2" s="67"/>
      <c r="AB2" s="17" t="s">
        <v>26</v>
      </c>
      <c r="AC2" s="17" t="s">
        <v>1269</v>
      </c>
      <c r="AD2" s="17" t="s">
        <v>1274</v>
      </c>
      <c r="AE2" s="17" t="s">
        <v>1275</v>
      </c>
      <c r="AF2" s="67"/>
      <c r="AG2" s="17" t="s">
        <v>26</v>
      </c>
      <c r="AH2" s="17" t="s">
        <v>1269</v>
      </c>
      <c r="AI2" s="17" t="s">
        <v>1274</v>
      </c>
      <c r="AJ2" s="17" t="s">
        <v>1275</v>
      </c>
      <c r="AK2" s="67"/>
      <c r="AL2" s="17" t="s">
        <v>26</v>
      </c>
      <c r="AM2" s="17" t="s">
        <v>1269</v>
      </c>
      <c r="AN2" s="17" t="s">
        <v>1274</v>
      </c>
      <c r="AO2" s="17" t="s">
        <v>1275</v>
      </c>
      <c r="AP2" s="67"/>
    </row>
    <row r="3" spans="1:42" ht="15.75" customHeight="1" x14ac:dyDescent="0.15">
      <c r="A3" s="18">
        <v>394</v>
      </c>
      <c r="B3" s="18" t="s">
        <v>31</v>
      </c>
      <c r="C3" s="18" t="s">
        <v>33</v>
      </c>
      <c r="D3" s="18">
        <v>46</v>
      </c>
      <c r="E3" s="18">
        <v>5</v>
      </c>
      <c r="F3" s="18" t="s">
        <v>1276</v>
      </c>
      <c r="G3" s="18" t="s">
        <v>1277</v>
      </c>
      <c r="H3" s="18" t="s">
        <v>33</v>
      </c>
      <c r="I3" s="18" t="s">
        <v>34</v>
      </c>
      <c r="J3" s="18" t="s">
        <v>34</v>
      </c>
      <c r="K3" s="18" t="s">
        <v>34</v>
      </c>
      <c r="L3" s="18" t="s">
        <v>1278</v>
      </c>
      <c r="M3" s="18" t="s">
        <v>33</v>
      </c>
      <c r="N3" s="18" t="s">
        <v>34</v>
      </c>
      <c r="O3" s="18" t="s">
        <v>34</v>
      </c>
      <c r="P3" s="18" t="s">
        <v>34</v>
      </c>
      <c r="Q3" s="18"/>
      <c r="R3" s="18" t="s">
        <v>33</v>
      </c>
      <c r="S3" s="18" t="s">
        <v>34</v>
      </c>
      <c r="T3" s="18" t="s">
        <v>34</v>
      </c>
      <c r="U3" s="18" t="s">
        <v>34</v>
      </c>
      <c r="V3" s="18"/>
      <c r="W3" s="18" t="s">
        <v>33</v>
      </c>
      <c r="X3" s="18" t="s">
        <v>34</v>
      </c>
      <c r="Y3" s="18" t="s">
        <v>34</v>
      </c>
      <c r="Z3" s="18" t="s">
        <v>34</v>
      </c>
      <c r="AA3" s="18"/>
      <c r="AB3" s="18" t="s">
        <v>33</v>
      </c>
      <c r="AC3" s="18" t="s">
        <v>34</v>
      </c>
      <c r="AD3" s="18" t="s">
        <v>34</v>
      </c>
      <c r="AE3" s="18" t="s">
        <v>34</v>
      </c>
      <c r="AF3" s="18"/>
      <c r="AG3" s="18" t="s">
        <v>33</v>
      </c>
      <c r="AH3" s="18" t="s">
        <v>34</v>
      </c>
      <c r="AI3" s="18" t="s">
        <v>34</v>
      </c>
      <c r="AJ3" s="18" t="s">
        <v>34</v>
      </c>
      <c r="AK3" s="18"/>
      <c r="AL3" s="18" t="s">
        <v>33</v>
      </c>
      <c r="AM3" s="18" t="s">
        <v>34</v>
      </c>
      <c r="AN3" s="18" t="s">
        <v>34</v>
      </c>
      <c r="AO3" s="18" t="s">
        <v>34</v>
      </c>
      <c r="AP3" s="18"/>
    </row>
    <row r="4" spans="1:42" ht="15.75" customHeight="1" x14ac:dyDescent="0.15">
      <c r="A4" s="5">
        <v>394</v>
      </c>
      <c r="B4" s="5" t="s">
        <v>31</v>
      </c>
      <c r="C4" s="5" t="s">
        <v>46</v>
      </c>
      <c r="D4" s="5">
        <v>42</v>
      </c>
      <c r="E4" s="5">
        <v>17</v>
      </c>
      <c r="F4" s="5"/>
      <c r="G4" s="5"/>
      <c r="H4" s="5" t="s">
        <v>46</v>
      </c>
      <c r="I4" s="5" t="s">
        <v>34</v>
      </c>
      <c r="J4" s="5" t="s">
        <v>34</v>
      </c>
      <c r="K4" s="5" t="s">
        <v>34</v>
      </c>
      <c r="L4" s="5"/>
      <c r="M4" s="5" t="s">
        <v>46</v>
      </c>
      <c r="N4" s="5" t="s">
        <v>34</v>
      </c>
      <c r="O4" s="5" t="s">
        <v>34</v>
      </c>
      <c r="P4" s="5" t="s">
        <v>34</v>
      </c>
      <c r="Q4" s="5"/>
      <c r="R4" s="5" t="s">
        <v>46</v>
      </c>
      <c r="S4" s="5" t="s">
        <v>34</v>
      </c>
      <c r="T4" s="5" t="s">
        <v>34</v>
      </c>
      <c r="U4" s="5" t="s">
        <v>34</v>
      </c>
      <c r="V4" s="5"/>
      <c r="W4" s="5" t="s">
        <v>46</v>
      </c>
      <c r="X4" s="5" t="s">
        <v>34</v>
      </c>
      <c r="Y4" s="5" t="s">
        <v>34</v>
      </c>
      <c r="Z4" s="5" t="s">
        <v>34</v>
      </c>
      <c r="AA4" s="5"/>
      <c r="AB4" s="5" t="s">
        <v>46</v>
      </c>
      <c r="AC4" s="5" t="s">
        <v>34</v>
      </c>
      <c r="AD4" s="5" t="s">
        <v>34</v>
      </c>
      <c r="AE4" s="5" t="s">
        <v>34</v>
      </c>
      <c r="AF4" s="5"/>
      <c r="AG4" s="5" t="s">
        <v>46</v>
      </c>
      <c r="AH4" s="5" t="s">
        <v>34</v>
      </c>
      <c r="AI4" s="5" t="s">
        <v>34</v>
      </c>
      <c r="AJ4" s="5" t="s">
        <v>34</v>
      </c>
      <c r="AK4" s="5"/>
      <c r="AL4" s="5" t="s">
        <v>46</v>
      </c>
      <c r="AM4" s="5" t="s">
        <v>34</v>
      </c>
      <c r="AN4" s="5" t="s">
        <v>34</v>
      </c>
      <c r="AO4" s="5" t="s">
        <v>34</v>
      </c>
      <c r="AP4" s="5"/>
    </row>
    <row r="5" spans="1:42" ht="66.75" customHeight="1" x14ac:dyDescent="0.15">
      <c r="A5" s="5">
        <v>763</v>
      </c>
      <c r="B5" s="5" t="s">
        <v>47</v>
      </c>
      <c r="C5" s="5" t="s">
        <v>60</v>
      </c>
      <c r="D5" s="5">
        <v>8</v>
      </c>
      <c r="E5" s="5">
        <v>0</v>
      </c>
      <c r="F5" s="74" t="s">
        <v>1279</v>
      </c>
      <c r="G5" s="5" t="s">
        <v>1280</v>
      </c>
      <c r="H5" s="5" t="s">
        <v>60</v>
      </c>
      <c r="I5" s="5">
        <v>8</v>
      </c>
      <c r="J5" s="5">
        <v>0</v>
      </c>
      <c r="K5" s="5" t="s">
        <v>1281</v>
      </c>
      <c r="L5" s="5" t="s">
        <v>1280</v>
      </c>
      <c r="M5" s="5" t="s">
        <v>60</v>
      </c>
      <c r="N5" s="5">
        <v>8</v>
      </c>
      <c r="O5" s="5" t="s">
        <v>34</v>
      </c>
      <c r="P5" s="5" t="s">
        <v>34</v>
      </c>
      <c r="Q5" s="19"/>
      <c r="R5" s="5" t="s">
        <v>60</v>
      </c>
      <c r="S5" s="5">
        <v>8</v>
      </c>
      <c r="T5" s="5" t="s">
        <v>34</v>
      </c>
      <c r="U5" s="5" t="s">
        <v>34</v>
      </c>
      <c r="V5" s="19"/>
      <c r="W5" s="5" t="s">
        <v>60</v>
      </c>
      <c r="X5" s="5">
        <v>8</v>
      </c>
      <c r="Y5" s="5" t="s">
        <v>34</v>
      </c>
      <c r="Z5" s="5" t="s">
        <v>34</v>
      </c>
      <c r="AA5" s="19"/>
      <c r="AB5" s="5" t="s">
        <v>60</v>
      </c>
      <c r="AC5" s="5">
        <v>8</v>
      </c>
      <c r="AD5" s="5" t="s">
        <v>34</v>
      </c>
      <c r="AE5" s="5" t="s">
        <v>34</v>
      </c>
      <c r="AF5" s="19"/>
      <c r="AG5" s="5" t="s">
        <v>60</v>
      </c>
      <c r="AH5" s="5">
        <v>8</v>
      </c>
      <c r="AI5" s="5" t="s">
        <v>34</v>
      </c>
      <c r="AJ5" s="5" t="s">
        <v>34</v>
      </c>
      <c r="AK5" s="19"/>
      <c r="AL5" s="5" t="s">
        <v>60</v>
      </c>
      <c r="AM5" s="5">
        <v>8</v>
      </c>
      <c r="AN5" s="5" t="s">
        <v>34</v>
      </c>
      <c r="AO5" s="5" t="s">
        <v>34</v>
      </c>
      <c r="AP5" s="19"/>
    </row>
    <row r="6" spans="1:42" ht="55.5" customHeight="1" x14ac:dyDescent="0.15">
      <c r="A6" s="5">
        <v>763</v>
      </c>
      <c r="B6" s="5" t="s">
        <v>47</v>
      </c>
      <c r="C6" s="5" t="s">
        <v>62</v>
      </c>
      <c r="D6" s="5">
        <v>25</v>
      </c>
      <c r="E6" s="5">
        <v>18</v>
      </c>
      <c r="F6" s="65"/>
      <c r="G6" s="5" t="s">
        <v>1282</v>
      </c>
      <c r="H6" s="5" t="s">
        <v>62</v>
      </c>
      <c r="I6" s="5">
        <v>25</v>
      </c>
      <c r="J6" s="5">
        <v>4</v>
      </c>
      <c r="K6" s="5" t="s">
        <v>1281</v>
      </c>
      <c r="L6" s="5" t="s">
        <v>1283</v>
      </c>
      <c r="M6" s="5" t="s">
        <v>62</v>
      </c>
      <c r="N6" s="5">
        <v>25</v>
      </c>
      <c r="O6" s="5" t="s">
        <v>34</v>
      </c>
      <c r="P6" s="5" t="s">
        <v>34</v>
      </c>
      <c r="Q6" s="19"/>
      <c r="R6" s="5" t="s">
        <v>62</v>
      </c>
      <c r="S6" s="5">
        <v>25</v>
      </c>
      <c r="T6" s="5" t="s">
        <v>34</v>
      </c>
      <c r="U6" s="5" t="s">
        <v>34</v>
      </c>
      <c r="V6" s="19"/>
      <c r="W6" s="5" t="s">
        <v>62</v>
      </c>
      <c r="X6" s="5">
        <v>25</v>
      </c>
      <c r="Y6" s="5" t="s">
        <v>34</v>
      </c>
      <c r="Z6" s="5" t="s">
        <v>34</v>
      </c>
      <c r="AA6" s="19"/>
      <c r="AB6" s="5" t="s">
        <v>62</v>
      </c>
      <c r="AC6" s="5">
        <v>25</v>
      </c>
      <c r="AD6" s="5" t="s">
        <v>34</v>
      </c>
      <c r="AE6" s="5" t="s">
        <v>34</v>
      </c>
      <c r="AF6" s="19"/>
      <c r="AG6" s="5" t="s">
        <v>62</v>
      </c>
      <c r="AH6" s="5">
        <v>25</v>
      </c>
      <c r="AI6" s="5" t="s">
        <v>34</v>
      </c>
      <c r="AJ6" s="5" t="s">
        <v>34</v>
      </c>
      <c r="AK6" s="19"/>
      <c r="AL6" s="5" t="s">
        <v>62</v>
      </c>
      <c r="AM6" s="5">
        <v>25</v>
      </c>
      <c r="AN6" s="5" t="s">
        <v>34</v>
      </c>
      <c r="AO6" s="5" t="s">
        <v>34</v>
      </c>
      <c r="AP6" s="19"/>
    </row>
    <row r="7" spans="1:42" ht="15.75" customHeight="1" x14ac:dyDescent="0.15">
      <c r="A7" s="5">
        <v>1899</v>
      </c>
      <c r="B7" s="5" t="s">
        <v>102</v>
      </c>
      <c r="C7" s="5" t="s">
        <v>33</v>
      </c>
      <c r="D7" s="5">
        <v>27</v>
      </c>
      <c r="E7" s="5" t="s">
        <v>34</v>
      </c>
      <c r="F7" s="5" t="s">
        <v>1284</v>
      </c>
      <c r="G7" s="5" t="s">
        <v>1285</v>
      </c>
      <c r="H7" s="5" t="s">
        <v>33</v>
      </c>
      <c r="I7" s="5">
        <v>27</v>
      </c>
      <c r="J7" s="5" t="s">
        <v>34</v>
      </c>
      <c r="K7" s="5" t="s">
        <v>34</v>
      </c>
      <c r="L7" s="19"/>
      <c r="M7" s="5" t="s">
        <v>33</v>
      </c>
      <c r="N7" s="5">
        <v>27</v>
      </c>
      <c r="O7" s="5" t="s">
        <v>34</v>
      </c>
      <c r="P7" s="5" t="s">
        <v>34</v>
      </c>
      <c r="Q7" s="19"/>
      <c r="R7" s="5" t="s">
        <v>33</v>
      </c>
      <c r="S7" s="5">
        <v>27</v>
      </c>
      <c r="T7" s="5" t="s">
        <v>34</v>
      </c>
      <c r="U7" s="5" t="s">
        <v>34</v>
      </c>
      <c r="V7" s="19"/>
      <c r="W7" s="5" t="s">
        <v>33</v>
      </c>
      <c r="X7" s="5">
        <v>27</v>
      </c>
      <c r="Y7" s="5" t="s">
        <v>34</v>
      </c>
      <c r="Z7" s="5" t="s">
        <v>34</v>
      </c>
      <c r="AA7" s="19"/>
      <c r="AB7" s="5" t="s">
        <v>33</v>
      </c>
      <c r="AC7" s="5">
        <v>27</v>
      </c>
      <c r="AD7" s="5" t="s">
        <v>34</v>
      </c>
      <c r="AE7" s="5" t="s">
        <v>34</v>
      </c>
      <c r="AF7" s="19"/>
      <c r="AG7" s="5" t="s">
        <v>33</v>
      </c>
      <c r="AH7" s="5">
        <v>27</v>
      </c>
      <c r="AI7" s="5" t="s">
        <v>34</v>
      </c>
      <c r="AJ7" s="5" t="s">
        <v>34</v>
      </c>
      <c r="AK7" s="19"/>
      <c r="AL7" s="5" t="s">
        <v>33</v>
      </c>
      <c r="AM7" s="5">
        <v>27</v>
      </c>
      <c r="AN7" s="5" t="s">
        <v>34</v>
      </c>
      <c r="AO7" s="5" t="s">
        <v>34</v>
      </c>
      <c r="AP7" s="19"/>
    </row>
    <row r="8" spans="1:42" ht="15.75" customHeight="1" x14ac:dyDescent="0.15">
      <c r="A8" s="5">
        <v>1899</v>
      </c>
      <c r="B8" s="5" t="s">
        <v>102</v>
      </c>
      <c r="C8" s="5" t="s">
        <v>1286</v>
      </c>
      <c r="D8" s="5">
        <v>173</v>
      </c>
      <c r="E8" s="5" t="s">
        <v>34</v>
      </c>
      <c r="F8" s="19"/>
      <c r="G8" s="19"/>
      <c r="H8" s="5" t="s">
        <v>1286</v>
      </c>
      <c r="I8" s="5">
        <v>173</v>
      </c>
      <c r="J8" s="5" t="s">
        <v>34</v>
      </c>
      <c r="K8" s="5" t="s">
        <v>34</v>
      </c>
      <c r="L8" s="19"/>
      <c r="M8" s="5" t="s">
        <v>1286</v>
      </c>
      <c r="N8" s="5">
        <v>173</v>
      </c>
      <c r="O8" s="5" t="s">
        <v>34</v>
      </c>
      <c r="P8" s="5" t="s">
        <v>34</v>
      </c>
      <c r="Q8" s="19"/>
      <c r="R8" s="5" t="s">
        <v>1286</v>
      </c>
      <c r="S8" s="5">
        <v>173</v>
      </c>
      <c r="T8" s="5" t="s">
        <v>34</v>
      </c>
      <c r="U8" s="5" t="s">
        <v>34</v>
      </c>
      <c r="V8" s="19"/>
      <c r="W8" s="5" t="s">
        <v>1286</v>
      </c>
      <c r="X8" s="5">
        <v>173</v>
      </c>
      <c r="Y8" s="5" t="s">
        <v>34</v>
      </c>
      <c r="Z8" s="5" t="s">
        <v>34</v>
      </c>
      <c r="AA8" s="19"/>
      <c r="AB8" s="5" t="s">
        <v>1286</v>
      </c>
      <c r="AC8" s="5">
        <v>173</v>
      </c>
      <c r="AD8" s="5" t="s">
        <v>34</v>
      </c>
      <c r="AE8" s="5" t="s">
        <v>34</v>
      </c>
      <c r="AF8" s="19"/>
      <c r="AG8" s="5" t="s">
        <v>1286</v>
      </c>
      <c r="AH8" s="5">
        <v>173</v>
      </c>
      <c r="AI8" s="5" t="s">
        <v>34</v>
      </c>
      <c r="AJ8" s="5" t="s">
        <v>34</v>
      </c>
      <c r="AK8" s="19"/>
      <c r="AL8" s="5" t="s">
        <v>1286</v>
      </c>
      <c r="AM8" s="5">
        <v>173</v>
      </c>
      <c r="AN8" s="5" t="s">
        <v>34</v>
      </c>
      <c r="AO8" s="5" t="s">
        <v>34</v>
      </c>
      <c r="AP8" s="19"/>
    </row>
    <row r="9" spans="1:42" ht="72.75" customHeight="1" x14ac:dyDescent="0.15">
      <c r="A9" s="5">
        <v>2341</v>
      </c>
      <c r="B9" s="5" t="s">
        <v>114</v>
      </c>
      <c r="C9" s="5" t="s">
        <v>33</v>
      </c>
      <c r="D9" s="5">
        <v>66</v>
      </c>
      <c r="E9" s="5" t="s">
        <v>34</v>
      </c>
      <c r="F9" s="5" t="s">
        <v>34</v>
      </c>
      <c r="G9" s="5"/>
      <c r="H9" s="5" t="s">
        <v>33</v>
      </c>
      <c r="I9" s="5">
        <v>66</v>
      </c>
      <c r="J9" s="5" t="s">
        <v>34</v>
      </c>
      <c r="K9" s="5" t="s">
        <v>34</v>
      </c>
      <c r="L9" s="5"/>
      <c r="M9" s="5" t="s">
        <v>33</v>
      </c>
      <c r="N9" s="5">
        <v>66</v>
      </c>
      <c r="O9" s="5" t="s">
        <v>34</v>
      </c>
      <c r="P9" s="5" t="s">
        <v>34</v>
      </c>
      <c r="Q9" s="5"/>
      <c r="R9" s="5" t="s">
        <v>33</v>
      </c>
      <c r="S9" s="5">
        <v>66</v>
      </c>
      <c r="T9" s="5" t="s">
        <v>1287</v>
      </c>
      <c r="U9" s="5" t="s">
        <v>34</v>
      </c>
      <c r="V9" s="5" t="s">
        <v>1288</v>
      </c>
      <c r="W9" s="5" t="s">
        <v>33</v>
      </c>
      <c r="X9" s="5">
        <v>66</v>
      </c>
      <c r="Y9" s="5" t="s">
        <v>1289</v>
      </c>
      <c r="Z9" s="5" t="s">
        <v>34</v>
      </c>
      <c r="AA9" s="5" t="s">
        <v>1290</v>
      </c>
      <c r="AB9" s="5" t="s">
        <v>33</v>
      </c>
      <c r="AC9" s="5">
        <v>66</v>
      </c>
      <c r="AD9" s="5" t="s">
        <v>1291</v>
      </c>
      <c r="AE9" s="5" t="s">
        <v>34</v>
      </c>
      <c r="AF9" s="5"/>
      <c r="AG9" s="5" t="s">
        <v>33</v>
      </c>
      <c r="AH9" s="5">
        <v>66</v>
      </c>
      <c r="AI9" s="5" t="s">
        <v>34</v>
      </c>
      <c r="AJ9" s="5" t="s">
        <v>34</v>
      </c>
      <c r="AK9" s="5"/>
      <c r="AL9" s="5" t="s">
        <v>33</v>
      </c>
      <c r="AM9" s="5">
        <v>66</v>
      </c>
      <c r="AN9" s="5" t="s">
        <v>34</v>
      </c>
      <c r="AO9" s="5" t="s">
        <v>34</v>
      </c>
      <c r="AP9" s="5"/>
    </row>
    <row r="10" spans="1:42" ht="71.25" customHeight="1" x14ac:dyDescent="0.15">
      <c r="A10" s="5">
        <v>2341</v>
      </c>
      <c r="B10" s="5" t="s">
        <v>114</v>
      </c>
      <c r="C10" s="5" t="s">
        <v>46</v>
      </c>
      <c r="D10" s="5">
        <v>101</v>
      </c>
      <c r="E10" s="5" t="s">
        <v>34</v>
      </c>
      <c r="F10" s="5" t="s">
        <v>34</v>
      </c>
      <c r="G10" s="5"/>
      <c r="H10" s="5" t="s">
        <v>46</v>
      </c>
      <c r="I10" s="5">
        <v>101</v>
      </c>
      <c r="J10" s="5" t="s">
        <v>34</v>
      </c>
      <c r="K10" s="5" t="s">
        <v>34</v>
      </c>
      <c r="L10" s="5"/>
      <c r="M10" s="5" t="s">
        <v>46</v>
      </c>
      <c r="N10" s="5">
        <v>101</v>
      </c>
      <c r="O10" s="5" t="s">
        <v>34</v>
      </c>
      <c r="P10" s="5" t="s">
        <v>34</v>
      </c>
      <c r="Q10" s="5"/>
      <c r="R10" s="5" t="s">
        <v>46</v>
      </c>
      <c r="S10" s="5">
        <v>101</v>
      </c>
      <c r="T10" s="5" t="s">
        <v>1292</v>
      </c>
      <c r="U10" s="5" t="s">
        <v>34</v>
      </c>
      <c r="V10" s="5"/>
      <c r="W10" s="5" t="s">
        <v>46</v>
      </c>
      <c r="X10" s="5">
        <v>101</v>
      </c>
      <c r="Y10" s="5" t="s">
        <v>1293</v>
      </c>
      <c r="Z10" s="5" t="s">
        <v>34</v>
      </c>
      <c r="AA10" s="5"/>
      <c r="AB10" s="5" t="s">
        <v>46</v>
      </c>
      <c r="AC10" s="5">
        <v>101</v>
      </c>
      <c r="AD10" s="5" t="s">
        <v>1294</v>
      </c>
      <c r="AE10" s="5" t="s">
        <v>34</v>
      </c>
      <c r="AF10" s="5"/>
      <c r="AG10" s="5" t="s">
        <v>46</v>
      </c>
      <c r="AH10" s="5">
        <v>101</v>
      </c>
      <c r="AI10" s="5" t="s">
        <v>34</v>
      </c>
      <c r="AJ10" s="5" t="s">
        <v>34</v>
      </c>
      <c r="AK10" s="5"/>
      <c r="AL10" s="5" t="s">
        <v>46</v>
      </c>
      <c r="AM10" s="5">
        <v>101</v>
      </c>
      <c r="AN10" s="5" t="s">
        <v>34</v>
      </c>
      <c r="AO10" s="5" t="s">
        <v>34</v>
      </c>
      <c r="AP10" s="5"/>
    </row>
    <row r="11" spans="1:42" ht="79.5" customHeight="1" x14ac:dyDescent="0.15">
      <c r="A11" s="5">
        <v>1238</v>
      </c>
      <c r="B11" s="5" t="s">
        <v>155</v>
      </c>
      <c r="C11" s="5" t="s">
        <v>33</v>
      </c>
      <c r="D11" s="5">
        <v>151</v>
      </c>
      <c r="E11" s="5">
        <v>8</v>
      </c>
      <c r="F11" s="5" t="s">
        <v>1295</v>
      </c>
      <c r="G11" s="5" t="s">
        <v>1296</v>
      </c>
      <c r="H11" s="5" t="s">
        <v>33</v>
      </c>
      <c r="I11" s="5">
        <v>151</v>
      </c>
      <c r="J11" s="5" t="s">
        <v>34</v>
      </c>
      <c r="K11" s="5" t="s">
        <v>34</v>
      </c>
      <c r="L11" s="5"/>
      <c r="M11" s="5" t="s">
        <v>33</v>
      </c>
      <c r="N11" s="5">
        <v>151</v>
      </c>
      <c r="O11" s="5" t="s">
        <v>34</v>
      </c>
      <c r="P11" s="5" t="s">
        <v>34</v>
      </c>
      <c r="Q11" s="5"/>
      <c r="R11" s="5" t="s">
        <v>33</v>
      </c>
      <c r="S11" s="5">
        <v>151</v>
      </c>
      <c r="T11" s="5" t="s">
        <v>34</v>
      </c>
      <c r="U11" s="5" t="s">
        <v>34</v>
      </c>
      <c r="V11" s="5"/>
      <c r="W11" s="5" t="s">
        <v>33</v>
      </c>
      <c r="X11" s="5">
        <v>151</v>
      </c>
      <c r="Y11" s="5" t="s">
        <v>34</v>
      </c>
      <c r="Z11" s="5" t="s">
        <v>34</v>
      </c>
      <c r="AA11" s="5"/>
      <c r="AB11" s="5" t="s">
        <v>33</v>
      </c>
      <c r="AC11" s="5">
        <v>151</v>
      </c>
      <c r="AD11" s="5" t="s">
        <v>34</v>
      </c>
      <c r="AE11" s="5" t="s">
        <v>34</v>
      </c>
      <c r="AF11" s="5"/>
      <c r="AG11" s="5" t="s">
        <v>33</v>
      </c>
      <c r="AH11" s="5">
        <v>151</v>
      </c>
      <c r="AI11" s="5" t="s">
        <v>34</v>
      </c>
      <c r="AJ11" s="5" t="s">
        <v>34</v>
      </c>
      <c r="AK11" s="5"/>
      <c r="AL11" s="5" t="s">
        <v>33</v>
      </c>
      <c r="AM11" s="5">
        <v>151</v>
      </c>
      <c r="AN11" s="5" t="s">
        <v>34</v>
      </c>
      <c r="AO11" s="5" t="s">
        <v>34</v>
      </c>
      <c r="AP11" s="5"/>
    </row>
    <row r="12" spans="1:42" ht="15.75" customHeight="1" x14ac:dyDescent="0.15">
      <c r="A12" s="5">
        <v>1238</v>
      </c>
      <c r="B12" s="5" t="s">
        <v>155</v>
      </c>
      <c r="C12" s="5" t="s">
        <v>46</v>
      </c>
      <c r="D12" s="5">
        <v>140</v>
      </c>
      <c r="E12" s="5">
        <v>34</v>
      </c>
      <c r="F12" s="5"/>
      <c r="G12" s="5"/>
      <c r="H12" s="5" t="s">
        <v>46</v>
      </c>
      <c r="I12" s="5">
        <v>140</v>
      </c>
      <c r="J12" s="5" t="s">
        <v>34</v>
      </c>
      <c r="K12" s="5" t="s">
        <v>34</v>
      </c>
      <c r="L12" s="5"/>
      <c r="M12" s="5" t="s">
        <v>46</v>
      </c>
      <c r="N12" s="5">
        <v>140</v>
      </c>
      <c r="O12" s="5" t="s">
        <v>34</v>
      </c>
      <c r="P12" s="5" t="s">
        <v>34</v>
      </c>
      <c r="Q12" s="5"/>
      <c r="R12" s="5" t="s">
        <v>46</v>
      </c>
      <c r="S12" s="5">
        <v>140</v>
      </c>
      <c r="T12" s="5" t="s">
        <v>34</v>
      </c>
      <c r="U12" s="5" t="s">
        <v>34</v>
      </c>
      <c r="V12" s="5"/>
      <c r="W12" s="5" t="s">
        <v>46</v>
      </c>
      <c r="X12" s="5">
        <v>140</v>
      </c>
      <c r="Y12" s="5" t="s">
        <v>34</v>
      </c>
      <c r="Z12" s="5" t="s">
        <v>34</v>
      </c>
      <c r="AA12" s="5"/>
      <c r="AB12" s="5" t="s">
        <v>46</v>
      </c>
      <c r="AC12" s="5">
        <v>140</v>
      </c>
      <c r="AD12" s="5" t="s">
        <v>34</v>
      </c>
      <c r="AE12" s="5" t="s">
        <v>34</v>
      </c>
      <c r="AF12" s="5"/>
      <c r="AG12" s="5" t="s">
        <v>46</v>
      </c>
      <c r="AH12" s="5">
        <v>140</v>
      </c>
      <c r="AI12" s="5" t="s">
        <v>34</v>
      </c>
      <c r="AJ12" s="5" t="s">
        <v>34</v>
      </c>
      <c r="AK12" s="5"/>
      <c r="AL12" s="5" t="s">
        <v>46</v>
      </c>
      <c r="AM12" s="5">
        <v>140</v>
      </c>
      <c r="AN12" s="5" t="s">
        <v>34</v>
      </c>
      <c r="AO12" s="5" t="s">
        <v>34</v>
      </c>
      <c r="AP12" s="5"/>
    </row>
    <row r="13" spans="1:42" ht="15.75" customHeight="1" x14ac:dyDescent="0.15">
      <c r="A13" s="5">
        <v>13443</v>
      </c>
      <c r="B13" s="5" t="s">
        <v>169</v>
      </c>
      <c r="C13" s="5" t="s">
        <v>33</v>
      </c>
      <c r="D13" s="5">
        <v>52</v>
      </c>
      <c r="E13" s="5" t="s">
        <v>34</v>
      </c>
      <c r="F13" s="5" t="s">
        <v>34</v>
      </c>
      <c r="G13" s="19"/>
      <c r="H13" s="5" t="s">
        <v>33</v>
      </c>
      <c r="I13" s="5">
        <v>52</v>
      </c>
      <c r="J13" s="5" t="s">
        <v>34</v>
      </c>
      <c r="K13" s="5" t="s">
        <v>34</v>
      </c>
      <c r="L13" s="19"/>
      <c r="M13" s="5" t="s">
        <v>33</v>
      </c>
      <c r="N13" s="5">
        <v>52</v>
      </c>
      <c r="O13" s="5" t="s">
        <v>34</v>
      </c>
      <c r="P13" s="5" t="s">
        <v>34</v>
      </c>
      <c r="Q13" s="19"/>
      <c r="R13" s="5" t="s">
        <v>33</v>
      </c>
      <c r="S13" s="5" t="s">
        <v>1297</v>
      </c>
      <c r="T13" s="5" t="s">
        <v>1298</v>
      </c>
      <c r="U13" s="5" t="s">
        <v>34</v>
      </c>
      <c r="V13" s="5" t="s">
        <v>1299</v>
      </c>
      <c r="W13" s="5" t="s">
        <v>33</v>
      </c>
      <c r="X13" s="5">
        <v>52</v>
      </c>
      <c r="Y13" s="5" t="s">
        <v>34</v>
      </c>
      <c r="Z13" s="5" t="s">
        <v>34</v>
      </c>
      <c r="AA13" s="19"/>
      <c r="AB13" s="5" t="s">
        <v>33</v>
      </c>
      <c r="AC13" s="5" t="s">
        <v>1297</v>
      </c>
      <c r="AD13" s="5" t="s">
        <v>1300</v>
      </c>
      <c r="AE13" s="5" t="s">
        <v>34</v>
      </c>
      <c r="AF13" s="5" t="s">
        <v>1301</v>
      </c>
      <c r="AG13" s="5" t="s">
        <v>33</v>
      </c>
      <c r="AH13" s="5">
        <v>52</v>
      </c>
      <c r="AI13" s="5" t="s">
        <v>1302</v>
      </c>
      <c r="AJ13" s="5" t="s">
        <v>34</v>
      </c>
      <c r="AK13" s="19"/>
      <c r="AL13" s="5" t="s">
        <v>33</v>
      </c>
      <c r="AM13" s="5">
        <v>52</v>
      </c>
      <c r="AN13" s="5" t="s">
        <v>1303</v>
      </c>
      <c r="AO13" s="5" t="s">
        <v>34</v>
      </c>
      <c r="AP13" s="5" t="s">
        <v>1304</v>
      </c>
    </row>
    <row r="14" spans="1:42" ht="15.75" customHeight="1" x14ac:dyDescent="0.15">
      <c r="A14" s="5">
        <v>13443</v>
      </c>
      <c r="B14" s="5" t="s">
        <v>169</v>
      </c>
      <c r="C14" s="5" t="s">
        <v>187</v>
      </c>
      <c r="D14" s="5">
        <v>51</v>
      </c>
      <c r="E14" s="5" t="s">
        <v>34</v>
      </c>
      <c r="F14" s="5" t="s">
        <v>34</v>
      </c>
      <c r="G14" s="19"/>
      <c r="H14" s="5" t="s">
        <v>187</v>
      </c>
      <c r="I14" s="5">
        <v>51</v>
      </c>
      <c r="J14" s="5" t="s">
        <v>34</v>
      </c>
      <c r="K14" s="5" t="s">
        <v>34</v>
      </c>
      <c r="L14" s="19"/>
      <c r="M14" s="5" t="s">
        <v>187</v>
      </c>
      <c r="N14" s="5">
        <v>51</v>
      </c>
      <c r="O14" s="5" t="s">
        <v>34</v>
      </c>
      <c r="P14" s="5" t="s">
        <v>34</v>
      </c>
      <c r="Q14" s="19"/>
      <c r="R14" s="5" t="s">
        <v>187</v>
      </c>
      <c r="S14" s="5" t="s">
        <v>1305</v>
      </c>
      <c r="T14" s="5" t="s">
        <v>1306</v>
      </c>
      <c r="U14" s="5" t="s">
        <v>34</v>
      </c>
      <c r="V14" s="5" t="s">
        <v>1307</v>
      </c>
      <c r="W14" s="5" t="s">
        <v>187</v>
      </c>
      <c r="X14" s="5">
        <v>51</v>
      </c>
      <c r="Y14" s="5" t="s">
        <v>34</v>
      </c>
      <c r="Z14" s="5" t="s">
        <v>34</v>
      </c>
      <c r="AA14" s="19"/>
      <c r="AB14" s="5" t="s">
        <v>187</v>
      </c>
      <c r="AC14" s="5" t="s">
        <v>1305</v>
      </c>
      <c r="AD14" s="5" t="s">
        <v>1308</v>
      </c>
      <c r="AE14" s="5" t="s">
        <v>34</v>
      </c>
      <c r="AF14" s="5" t="s">
        <v>1309</v>
      </c>
      <c r="AG14" s="5" t="s">
        <v>187</v>
      </c>
      <c r="AH14" s="5">
        <v>51</v>
      </c>
      <c r="AI14" s="5" t="s">
        <v>1310</v>
      </c>
      <c r="AJ14" s="5" t="s">
        <v>34</v>
      </c>
      <c r="AK14" s="19"/>
      <c r="AL14" s="5" t="s">
        <v>187</v>
      </c>
      <c r="AM14" s="5">
        <v>51</v>
      </c>
      <c r="AN14" s="5" t="s">
        <v>1311</v>
      </c>
      <c r="AO14" s="5" t="s">
        <v>34</v>
      </c>
      <c r="AP14" s="19"/>
    </row>
    <row r="15" spans="1:42" ht="15.75" customHeight="1" x14ac:dyDescent="0.15">
      <c r="A15" s="5">
        <v>4288</v>
      </c>
      <c r="B15" s="5" t="s">
        <v>231</v>
      </c>
      <c r="C15" s="5" t="s">
        <v>33</v>
      </c>
      <c r="D15" s="5">
        <v>135</v>
      </c>
      <c r="E15" s="5" t="s">
        <v>34</v>
      </c>
      <c r="F15" s="5" t="s">
        <v>34</v>
      </c>
      <c r="G15" s="19"/>
      <c r="H15" s="5" t="s">
        <v>33</v>
      </c>
      <c r="I15" s="5">
        <v>135</v>
      </c>
      <c r="J15" s="5" t="s">
        <v>34</v>
      </c>
      <c r="K15" s="5" t="s">
        <v>34</v>
      </c>
      <c r="L15" s="19"/>
      <c r="M15" s="5" t="s">
        <v>33</v>
      </c>
      <c r="N15" s="5">
        <v>135</v>
      </c>
      <c r="O15" s="5" t="s">
        <v>34</v>
      </c>
      <c r="P15" s="5" t="s">
        <v>34</v>
      </c>
      <c r="Q15" s="19"/>
      <c r="R15" s="5" t="s">
        <v>33</v>
      </c>
      <c r="S15" s="5">
        <v>135</v>
      </c>
      <c r="T15" s="5" t="s">
        <v>1312</v>
      </c>
      <c r="U15" s="5" t="s">
        <v>34</v>
      </c>
      <c r="V15" s="19"/>
      <c r="W15" s="5" t="s">
        <v>33</v>
      </c>
      <c r="X15" s="5">
        <v>135</v>
      </c>
      <c r="Y15" s="5" t="s">
        <v>34</v>
      </c>
      <c r="Z15" s="5" t="s">
        <v>34</v>
      </c>
      <c r="AA15" s="19"/>
      <c r="AB15" s="5" t="s">
        <v>33</v>
      </c>
      <c r="AC15" s="5">
        <v>135</v>
      </c>
      <c r="AD15" s="5" t="s">
        <v>1313</v>
      </c>
      <c r="AE15" s="5" t="s">
        <v>34</v>
      </c>
      <c r="AF15" s="19"/>
      <c r="AG15" s="5" t="s">
        <v>33</v>
      </c>
      <c r="AH15" s="5">
        <v>135</v>
      </c>
      <c r="AI15" s="5" t="s">
        <v>1314</v>
      </c>
      <c r="AJ15" s="5" t="s">
        <v>34</v>
      </c>
      <c r="AK15" s="19"/>
      <c r="AL15" s="5" t="s">
        <v>33</v>
      </c>
      <c r="AM15" s="5">
        <v>135</v>
      </c>
      <c r="AN15" s="5" t="s">
        <v>34</v>
      </c>
      <c r="AO15" s="5" t="s">
        <v>34</v>
      </c>
      <c r="AP15" s="19"/>
    </row>
    <row r="16" spans="1:42" ht="15.75" customHeight="1" x14ac:dyDescent="0.15">
      <c r="A16" s="5">
        <v>4288</v>
      </c>
      <c r="B16" s="5" t="s">
        <v>231</v>
      </c>
      <c r="C16" s="5" t="s">
        <v>46</v>
      </c>
      <c r="D16" s="5">
        <v>25</v>
      </c>
      <c r="E16" s="5" t="s">
        <v>34</v>
      </c>
      <c r="F16" s="5" t="s">
        <v>34</v>
      </c>
      <c r="G16" s="19"/>
      <c r="H16" s="5" t="s">
        <v>46</v>
      </c>
      <c r="I16" s="5">
        <v>25</v>
      </c>
      <c r="J16" s="5" t="s">
        <v>34</v>
      </c>
      <c r="K16" s="5" t="s">
        <v>34</v>
      </c>
      <c r="L16" s="19"/>
      <c r="M16" s="5" t="s">
        <v>46</v>
      </c>
      <c r="N16" s="5">
        <v>25</v>
      </c>
      <c r="O16" s="5" t="s">
        <v>34</v>
      </c>
      <c r="P16" s="5" t="s">
        <v>34</v>
      </c>
      <c r="Q16" s="19"/>
      <c r="R16" s="5" t="s">
        <v>46</v>
      </c>
      <c r="S16" s="5">
        <v>25</v>
      </c>
      <c r="T16" s="5" t="s">
        <v>1315</v>
      </c>
      <c r="U16" s="5" t="s">
        <v>34</v>
      </c>
      <c r="V16" s="19"/>
      <c r="W16" s="5" t="s">
        <v>46</v>
      </c>
      <c r="X16" s="5">
        <v>25</v>
      </c>
      <c r="Y16" s="5" t="s">
        <v>34</v>
      </c>
      <c r="Z16" s="5" t="s">
        <v>34</v>
      </c>
      <c r="AA16" s="19"/>
      <c r="AB16" s="5" t="s">
        <v>46</v>
      </c>
      <c r="AC16" s="5">
        <v>25</v>
      </c>
      <c r="AD16" s="5" t="s">
        <v>1316</v>
      </c>
      <c r="AE16" s="5" t="s">
        <v>34</v>
      </c>
      <c r="AF16" s="19"/>
      <c r="AG16" s="5" t="s">
        <v>46</v>
      </c>
      <c r="AH16" s="5">
        <v>25</v>
      </c>
      <c r="AI16" s="5" t="s">
        <v>1317</v>
      </c>
      <c r="AJ16" s="5" t="s">
        <v>34</v>
      </c>
      <c r="AK16" s="19"/>
      <c r="AL16" s="5" t="s">
        <v>46</v>
      </c>
      <c r="AM16" s="5">
        <v>25</v>
      </c>
      <c r="AN16" s="5" t="s">
        <v>34</v>
      </c>
      <c r="AO16" s="5" t="s">
        <v>34</v>
      </c>
      <c r="AP16" s="19"/>
    </row>
    <row r="17" spans="1:42" ht="15.75" customHeight="1" x14ac:dyDescent="0.15">
      <c r="A17" s="5">
        <v>358</v>
      </c>
      <c r="B17" s="5" t="s">
        <v>248</v>
      </c>
      <c r="C17" s="5" t="s">
        <v>33</v>
      </c>
      <c r="D17" s="5">
        <v>58</v>
      </c>
      <c r="E17" s="5" t="s">
        <v>34</v>
      </c>
      <c r="F17" s="5"/>
      <c r="G17" s="5"/>
      <c r="H17" s="5" t="s">
        <v>33</v>
      </c>
      <c r="I17" s="5">
        <v>58</v>
      </c>
      <c r="J17" s="5" t="s">
        <v>34</v>
      </c>
      <c r="K17" s="5"/>
      <c r="L17" s="5"/>
      <c r="M17" s="5" t="s">
        <v>33</v>
      </c>
      <c r="N17" s="5">
        <v>58</v>
      </c>
      <c r="O17" s="5" t="s">
        <v>34</v>
      </c>
      <c r="P17" s="5"/>
      <c r="Q17" s="5"/>
      <c r="R17" s="5" t="s">
        <v>33</v>
      </c>
      <c r="S17" s="5">
        <v>55</v>
      </c>
      <c r="T17" s="5" t="s">
        <v>1318</v>
      </c>
      <c r="U17" s="5" t="s">
        <v>1319</v>
      </c>
      <c r="V17" s="5"/>
      <c r="W17" s="5" t="s">
        <v>33</v>
      </c>
      <c r="X17" s="5">
        <v>58</v>
      </c>
      <c r="Y17" s="5" t="s">
        <v>34</v>
      </c>
      <c r="Z17" s="5"/>
      <c r="AA17" s="5"/>
      <c r="AB17" s="5" t="s">
        <v>33</v>
      </c>
      <c r="AC17" s="5">
        <v>54</v>
      </c>
      <c r="AD17" s="5" t="s">
        <v>1320</v>
      </c>
      <c r="AE17" s="5" t="s">
        <v>1321</v>
      </c>
      <c r="AF17" s="5" t="s">
        <v>1322</v>
      </c>
      <c r="AG17" s="5" t="s">
        <v>33</v>
      </c>
      <c r="AH17" s="5">
        <v>55</v>
      </c>
      <c r="AI17" s="5" t="s">
        <v>1323</v>
      </c>
      <c r="AJ17" s="5" t="s">
        <v>1324</v>
      </c>
      <c r="AK17" s="5" t="s">
        <v>1325</v>
      </c>
      <c r="AL17" s="5" t="s">
        <v>33</v>
      </c>
      <c r="AM17" s="5">
        <v>53</v>
      </c>
      <c r="AN17" s="5" t="s">
        <v>1326</v>
      </c>
      <c r="AO17" s="5" t="s">
        <v>1327</v>
      </c>
      <c r="AP17" s="5" t="s">
        <v>1328</v>
      </c>
    </row>
    <row r="18" spans="1:42" ht="15.75" customHeight="1" x14ac:dyDescent="0.15">
      <c r="A18" s="5">
        <v>358</v>
      </c>
      <c r="B18" s="5" t="s">
        <v>248</v>
      </c>
      <c r="C18" s="5" t="s">
        <v>46</v>
      </c>
      <c r="D18" s="5">
        <v>60</v>
      </c>
      <c r="E18" s="5" t="s">
        <v>34</v>
      </c>
      <c r="F18" s="5"/>
      <c r="G18" s="5"/>
      <c r="H18" s="5" t="s">
        <v>46</v>
      </c>
      <c r="I18" s="5">
        <v>60</v>
      </c>
      <c r="J18" s="5" t="s">
        <v>34</v>
      </c>
      <c r="K18" s="5"/>
      <c r="L18" s="5"/>
      <c r="M18" s="5" t="s">
        <v>46</v>
      </c>
      <c r="N18" s="5">
        <v>60</v>
      </c>
      <c r="O18" s="5" t="s">
        <v>34</v>
      </c>
      <c r="P18" s="5"/>
      <c r="Q18" s="5"/>
      <c r="R18" s="5" t="s">
        <v>46</v>
      </c>
      <c r="S18" s="5">
        <v>55</v>
      </c>
      <c r="T18" s="5" t="s">
        <v>1329</v>
      </c>
      <c r="U18" s="5"/>
      <c r="V18" s="5" t="s">
        <v>1330</v>
      </c>
      <c r="W18" s="5" t="s">
        <v>46</v>
      </c>
      <c r="X18" s="5">
        <v>60</v>
      </c>
      <c r="Y18" s="5" t="s">
        <v>34</v>
      </c>
      <c r="Z18" s="5"/>
      <c r="AA18" s="5"/>
      <c r="AB18" s="5" t="s">
        <v>46</v>
      </c>
      <c r="AC18" s="5">
        <v>53</v>
      </c>
      <c r="AD18" s="5" t="s">
        <v>1331</v>
      </c>
      <c r="AE18" s="5"/>
      <c r="AF18" s="5"/>
      <c r="AG18" s="5" t="s">
        <v>46</v>
      </c>
      <c r="AH18" s="5">
        <v>53</v>
      </c>
      <c r="AI18" s="5" t="s">
        <v>1332</v>
      </c>
      <c r="AJ18" s="5"/>
      <c r="AK18" s="5"/>
      <c r="AL18" s="5" t="s">
        <v>46</v>
      </c>
      <c r="AM18" s="5">
        <v>50</v>
      </c>
      <c r="AN18" s="5" t="s">
        <v>1333</v>
      </c>
      <c r="AO18" s="5"/>
      <c r="AP18" s="5"/>
    </row>
    <row r="19" spans="1:42" ht="15.75" customHeight="1" x14ac:dyDescent="0.15">
      <c r="A19" s="5">
        <v>2902</v>
      </c>
      <c r="B19" s="5" t="s">
        <v>265</v>
      </c>
      <c r="C19" s="5" t="s">
        <v>33</v>
      </c>
      <c r="D19" s="5">
        <v>191</v>
      </c>
      <c r="E19" s="5" t="s">
        <v>34</v>
      </c>
      <c r="F19" s="5" t="s">
        <v>1334</v>
      </c>
      <c r="G19" s="5" t="s">
        <v>1335</v>
      </c>
      <c r="H19" s="5" t="s">
        <v>33</v>
      </c>
      <c r="I19" s="5">
        <v>191</v>
      </c>
      <c r="J19" s="5" t="s">
        <v>34</v>
      </c>
      <c r="K19" s="5" t="s">
        <v>34</v>
      </c>
      <c r="L19" s="19"/>
      <c r="M19" s="5" t="s">
        <v>33</v>
      </c>
      <c r="N19" s="5">
        <v>191</v>
      </c>
      <c r="O19" s="5" t="s">
        <v>34</v>
      </c>
      <c r="P19" s="5" t="s">
        <v>34</v>
      </c>
      <c r="Q19" s="19"/>
      <c r="R19" s="5" t="s">
        <v>33</v>
      </c>
      <c r="S19" s="5">
        <v>191</v>
      </c>
      <c r="T19" s="5" t="s">
        <v>34</v>
      </c>
      <c r="U19" s="5" t="s">
        <v>34</v>
      </c>
      <c r="V19" s="19"/>
      <c r="W19" s="5" t="s">
        <v>33</v>
      </c>
      <c r="X19" s="5">
        <v>191</v>
      </c>
      <c r="Y19" s="5" t="s">
        <v>34</v>
      </c>
      <c r="Z19" s="5" t="s">
        <v>34</v>
      </c>
      <c r="AA19" s="19"/>
      <c r="AB19" s="5" t="s">
        <v>33</v>
      </c>
      <c r="AC19" s="5">
        <v>191</v>
      </c>
      <c r="AD19" s="5" t="s">
        <v>34</v>
      </c>
      <c r="AE19" s="5" t="s">
        <v>34</v>
      </c>
      <c r="AF19" s="19"/>
      <c r="AG19" s="5" t="s">
        <v>33</v>
      </c>
      <c r="AH19" s="5">
        <v>191</v>
      </c>
      <c r="AI19" s="5" t="s">
        <v>34</v>
      </c>
      <c r="AJ19" s="5" t="s">
        <v>34</v>
      </c>
      <c r="AK19" s="19"/>
      <c r="AL19" s="5" t="s">
        <v>33</v>
      </c>
      <c r="AM19" s="5">
        <v>191</v>
      </c>
      <c r="AN19" s="5" t="s">
        <v>34</v>
      </c>
      <c r="AO19" s="5" t="s">
        <v>34</v>
      </c>
      <c r="AP19" s="19"/>
    </row>
    <row r="20" spans="1:42" ht="15.75" customHeight="1" x14ac:dyDescent="0.15">
      <c r="A20" s="5">
        <v>2902</v>
      </c>
      <c r="B20" s="5" t="s">
        <v>265</v>
      </c>
      <c r="C20" s="5" t="s">
        <v>46</v>
      </c>
      <c r="D20" s="5">
        <v>76</v>
      </c>
      <c r="E20" s="5" t="s">
        <v>34</v>
      </c>
      <c r="F20" s="5" t="s">
        <v>34</v>
      </c>
      <c r="G20" s="19"/>
      <c r="H20" s="5" t="s">
        <v>46</v>
      </c>
      <c r="I20" s="5">
        <v>76</v>
      </c>
      <c r="J20" s="5" t="s">
        <v>34</v>
      </c>
      <c r="K20" s="5" t="s">
        <v>34</v>
      </c>
      <c r="L20" s="19"/>
      <c r="M20" s="5" t="s">
        <v>46</v>
      </c>
      <c r="N20" s="5">
        <v>76</v>
      </c>
      <c r="O20" s="5" t="s">
        <v>34</v>
      </c>
      <c r="P20" s="5" t="s">
        <v>34</v>
      </c>
      <c r="Q20" s="19"/>
      <c r="R20" s="5" t="s">
        <v>46</v>
      </c>
      <c r="S20" s="5">
        <v>76</v>
      </c>
      <c r="T20" s="5" t="s">
        <v>34</v>
      </c>
      <c r="U20" s="5" t="s">
        <v>34</v>
      </c>
      <c r="V20" s="19"/>
      <c r="W20" s="5" t="s">
        <v>46</v>
      </c>
      <c r="X20" s="5">
        <v>76</v>
      </c>
      <c r="Y20" s="5" t="s">
        <v>34</v>
      </c>
      <c r="Z20" s="5" t="s">
        <v>34</v>
      </c>
      <c r="AA20" s="19"/>
      <c r="AB20" s="5" t="s">
        <v>46</v>
      </c>
      <c r="AC20" s="5">
        <v>76</v>
      </c>
      <c r="AD20" s="5" t="s">
        <v>34</v>
      </c>
      <c r="AE20" s="5" t="s">
        <v>34</v>
      </c>
      <c r="AF20" s="19"/>
      <c r="AG20" s="5" t="s">
        <v>46</v>
      </c>
      <c r="AH20" s="5">
        <v>76</v>
      </c>
      <c r="AI20" s="5" t="s">
        <v>34</v>
      </c>
      <c r="AJ20" s="5" t="s">
        <v>34</v>
      </c>
      <c r="AK20" s="19"/>
      <c r="AL20" s="5" t="s">
        <v>46</v>
      </c>
      <c r="AM20" s="5">
        <v>76</v>
      </c>
      <c r="AN20" s="5" t="s">
        <v>34</v>
      </c>
      <c r="AO20" s="5" t="s">
        <v>34</v>
      </c>
      <c r="AP20" s="19"/>
    </row>
    <row r="21" spans="1:42" ht="216.75" customHeight="1" x14ac:dyDescent="0.15">
      <c r="A21" s="19">
        <v>1667</v>
      </c>
      <c r="B21" s="19" t="s">
        <v>217</v>
      </c>
      <c r="C21" s="5" t="s">
        <v>33</v>
      </c>
      <c r="D21" s="5">
        <v>745</v>
      </c>
      <c r="E21" s="5">
        <v>2</v>
      </c>
      <c r="F21" s="19"/>
      <c r="G21" s="5" t="s">
        <v>1336</v>
      </c>
      <c r="H21" s="5" t="s">
        <v>33</v>
      </c>
      <c r="I21" s="19" t="s">
        <v>34</v>
      </c>
      <c r="J21" s="5" t="s">
        <v>34</v>
      </c>
      <c r="K21" s="5" t="s">
        <v>34</v>
      </c>
      <c r="L21" s="19"/>
      <c r="M21" s="5" t="s">
        <v>33</v>
      </c>
      <c r="N21" s="19" t="s">
        <v>34</v>
      </c>
      <c r="O21" s="5" t="s">
        <v>34</v>
      </c>
      <c r="P21" s="5" t="s">
        <v>34</v>
      </c>
      <c r="Q21" s="19"/>
      <c r="R21" s="5" t="s">
        <v>33</v>
      </c>
      <c r="S21" s="5">
        <v>707</v>
      </c>
      <c r="T21" s="5" t="s">
        <v>1337</v>
      </c>
      <c r="U21" s="19"/>
      <c r="V21" s="5" t="s">
        <v>1338</v>
      </c>
      <c r="W21" s="5" t="s">
        <v>33</v>
      </c>
      <c r="X21" s="19" t="s">
        <v>34</v>
      </c>
      <c r="Y21" s="19" t="s">
        <v>34</v>
      </c>
      <c r="Z21" s="19" t="s">
        <v>34</v>
      </c>
      <c r="AA21" s="19"/>
      <c r="AB21" s="5" t="s">
        <v>33</v>
      </c>
      <c r="AC21" s="5">
        <v>683</v>
      </c>
      <c r="AD21" s="5" t="s">
        <v>1339</v>
      </c>
      <c r="AE21" s="19"/>
      <c r="AF21" s="5" t="s">
        <v>1340</v>
      </c>
      <c r="AG21" s="5" t="s">
        <v>33</v>
      </c>
      <c r="AH21" s="19" t="s">
        <v>34</v>
      </c>
      <c r="AI21" s="5" t="s">
        <v>34</v>
      </c>
      <c r="AJ21" s="5" t="s">
        <v>34</v>
      </c>
      <c r="AK21" s="19"/>
      <c r="AL21" s="5" t="s">
        <v>33</v>
      </c>
      <c r="AM21" s="19" t="s">
        <v>34</v>
      </c>
      <c r="AN21" s="5" t="s">
        <v>34</v>
      </c>
      <c r="AO21" s="5" t="s">
        <v>34</v>
      </c>
      <c r="AP21" s="19"/>
    </row>
    <row r="22" spans="1:42" ht="15.75" customHeight="1" x14ac:dyDescent="0.15">
      <c r="A22" s="19">
        <v>1667</v>
      </c>
      <c r="B22" s="19" t="s">
        <v>217</v>
      </c>
      <c r="C22" s="5" t="s">
        <v>1286</v>
      </c>
      <c r="D22" s="5">
        <v>260</v>
      </c>
      <c r="E22" s="5">
        <v>0</v>
      </c>
      <c r="F22" s="19"/>
      <c r="G22" s="19"/>
      <c r="H22" s="5" t="s">
        <v>1286</v>
      </c>
      <c r="I22" s="19" t="s">
        <v>34</v>
      </c>
      <c r="J22" s="5" t="s">
        <v>34</v>
      </c>
      <c r="K22" s="5" t="s">
        <v>34</v>
      </c>
      <c r="L22" s="19"/>
      <c r="M22" s="5" t="s">
        <v>1286</v>
      </c>
      <c r="N22" s="19" t="s">
        <v>34</v>
      </c>
      <c r="O22" s="5" t="s">
        <v>34</v>
      </c>
      <c r="P22" s="5" t="s">
        <v>34</v>
      </c>
      <c r="Q22" s="19"/>
      <c r="R22" s="5" t="s">
        <v>1286</v>
      </c>
      <c r="S22" s="5">
        <v>254</v>
      </c>
      <c r="T22" s="5" t="s">
        <v>1341</v>
      </c>
      <c r="U22" s="19"/>
      <c r="V22" s="19"/>
      <c r="W22" s="5" t="s">
        <v>1286</v>
      </c>
      <c r="X22" s="19" t="s">
        <v>34</v>
      </c>
      <c r="Y22" s="19" t="s">
        <v>34</v>
      </c>
      <c r="Z22" s="19" t="s">
        <v>34</v>
      </c>
      <c r="AA22" s="19"/>
      <c r="AB22" s="5" t="s">
        <v>1286</v>
      </c>
      <c r="AC22" s="5">
        <v>245</v>
      </c>
      <c r="AD22" s="5" t="s">
        <v>1342</v>
      </c>
      <c r="AE22" s="19"/>
      <c r="AF22" s="19"/>
      <c r="AG22" s="5" t="s">
        <v>1286</v>
      </c>
      <c r="AH22" s="19" t="s">
        <v>34</v>
      </c>
      <c r="AI22" s="5" t="s">
        <v>34</v>
      </c>
      <c r="AJ22" s="5" t="s">
        <v>34</v>
      </c>
      <c r="AK22" s="19"/>
      <c r="AL22" s="5" t="s">
        <v>1286</v>
      </c>
      <c r="AM22" s="19" t="s">
        <v>34</v>
      </c>
      <c r="AN22" s="5" t="s">
        <v>34</v>
      </c>
      <c r="AO22" s="5" t="s">
        <v>34</v>
      </c>
      <c r="AP22" s="19"/>
    </row>
    <row r="23" spans="1:42" ht="15.75" customHeight="1" x14ac:dyDescent="0.15">
      <c r="A23" s="19">
        <v>79</v>
      </c>
      <c r="B23" s="19" t="s">
        <v>303</v>
      </c>
      <c r="C23" s="5" t="s">
        <v>33</v>
      </c>
      <c r="D23" s="5">
        <v>90</v>
      </c>
      <c r="E23" s="19" t="s">
        <v>34</v>
      </c>
      <c r="F23" s="19" t="s">
        <v>34</v>
      </c>
      <c r="G23" s="19"/>
      <c r="H23" s="5" t="s">
        <v>33</v>
      </c>
      <c r="I23" s="5">
        <v>90</v>
      </c>
      <c r="J23" s="19" t="s">
        <v>34</v>
      </c>
      <c r="K23" s="19" t="s">
        <v>34</v>
      </c>
      <c r="L23" s="19"/>
      <c r="M23" s="5" t="s">
        <v>33</v>
      </c>
      <c r="N23" s="5">
        <v>90</v>
      </c>
      <c r="O23" s="19" t="s">
        <v>34</v>
      </c>
      <c r="P23" s="19" t="s">
        <v>34</v>
      </c>
      <c r="Q23" s="19"/>
      <c r="R23" s="5" t="s">
        <v>33</v>
      </c>
      <c r="S23" s="5">
        <v>90</v>
      </c>
      <c r="T23" s="19" t="s">
        <v>34</v>
      </c>
      <c r="U23" s="19" t="s">
        <v>34</v>
      </c>
      <c r="V23" s="19"/>
      <c r="W23" s="5" t="s">
        <v>33</v>
      </c>
      <c r="X23" s="5">
        <v>90</v>
      </c>
      <c r="Y23" s="19" t="s">
        <v>34</v>
      </c>
      <c r="Z23" s="19"/>
      <c r="AA23" s="19"/>
      <c r="AB23" s="5" t="s">
        <v>33</v>
      </c>
      <c r="AC23" s="5">
        <v>90</v>
      </c>
      <c r="AD23" s="19" t="s">
        <v>1343</v>
      </c>
      <c r="AE23" s="19" t="s">
        <v>34</v>
      </c>
      <c r="AF23" s="19" t="s">
        <v>1344</v>
      </c>
      <c r="AG23" s="5" t="s">
        <v>33</v>
      </c>
      <c r="AH23" s="5">
        <v>90</v>
      </c>
      <c r="AI23" s="19" t="s">
        <v>34</v>
      </c>
      <c r="AJ23" s="19"/>
      <c r="AK23" s="19"/>
      <c r="AL23" s="5" t="s">
        <v>33</v>
      </c>
      <c r="AM23" s="5">
        <v>90</v>
      </c>
      <c r="AN23" s="19" t="s">
        <v>34</v>
      </c>
      <c r="AO23" s="19"/>
      <c r="AP23" s="19"/>
    </row>
    <row r="24" spans="1:42" ht="15.75" customHeight="1" x14ac:dyDescent="0.15">
      <c r="A24" s="19">
        <v>79</v>
      </c>
      <c r="B24" s="19" t="s">
        <v>303</v>
      </c>
      <c r="C24" s="5" t="s">
        <v>46</v>
      </c>
      <c r="D24" s="5">
        <v>22</v>
      </c>
      <c r="E24" s="19" t="s">
        <v>34</v>
      </c>
      <c r="F24" s="19" t="s">
        <v>34</v>
      </c>
      <c r="G24" s="19"/>
      <c r="H24" s="5" t="s">
        <v>46</v>
      </c>
      <c r="I24" s="5">
        <v>22</v>
      </c>
      <c r="J24" s="19" t="s">
        <v>34</v>
      </c>
      <c r="K24" s="19" t="s">
        <v>34</v>
      </c>
      <c r="L24" s="19"/>
      <c r="M24" s="5" t="s">
        <v>46</v>
      </c>
      <c r="N24" s="5">
        <v>22</v>
      </c>
      <c r="O24" s="19" t="s">
        <v>34</v>
      </c>
      <c r="P24" s="19" t="s">
        <v>34</v>
      </c>
      <c r="Q24" s="19"/>
      <c r="R24" s="5" t="s">
        <v>46</v>
      </c>
      <c r="S24" s="5">
        <v>22</v>
      </c>
      <c r="T24" s="19" t="s">
        <v>34</v>
      </c>
      <c r="U24" s="19" t="s">
        <v>34</v>
      </c>
      <c r="V24" s="19"/>
      <c r="W24" s="5" t="s">
        <v>46</v>
      </c>
      <c r="X24" s="5">
        <v>22</v>
      </c>
      <c r="Y24" s="19" t="s">
        <v>34</v>
      </c>
      <c r="Z24" s="19"/>
      <c r="AA24" s="19"/>
      <c r="AB24" s="5" t="s">
        <v>46</v>
      </c>
      <c r="AC24" s="5">
        <v>22</v>
      </c>
      <c r="AD24" s="19" t="s">
        <v>1345</v>
      </c>
      <c r="AE24" s="19"/>
      <c r="AF24" s="19"/>
      <c r="AG24" s="5" t="s">
        <v>46</v>
      </c>
      <c r="AH24" s="5">
        <v>22</v>
      </c>
      <c r="AI24" s="19" t="s">
        <v>34</v>
      </c>
      <c r="AJ24" s="19"/>
      <c r="AK24" s="19"/>
      <c r="AL24" s="5" t="s">
        <v>46</v>
      </c>
      <c r="AM24" s="5">
        <v>22</v>
      </c>
      <c r="AN24" s="19" t="s">
        <v>34</v>
      </c>
      <c r="AO24" s="19"/>
      <c r="AP24" s="19"/>
    </row>
    <row r="25" spans="1:42" ht="15.75" customHeight="1" x14ac:dyDescent="0.15">
      <c r="A25" s="19">
        <v>79</v>
      </c>
      <c r="B25" s="19" t="s">
        <v>303</v>
      </c>
      <c r="C25" s="5" t="s">
        <v>321</v>
      </c>
      <c r="D25" s="5">
        <v>43</v>
      </c>
      <c r="E25" s="19" t="s">
        <v>34</v>
      </c>
      <c r="F25" s="19" t="s">
        <v>34</v>
      </c>
      <c r="G25" s="19"/>
      <c r="H25" s="5" t="s">
        <v>321</v>
      </c>
      <c r="I25" s="5">
        <v>43</v>
      </c>
      <c r="J25" s="19" t="s">
        <v>34</v>
      </c>
      <c r="K25" s="19" t="s">
        <v>34</v>
      </c>
      <c r="L25" s="19"/>
      <c r="M25" s="5" t="s">
        <v>321</v>
      </c>
      <c r="N25" s="5">
        <v>43</v>
      </c>
      <c r="O25" s="19" t="s">
        <v>34</v>
      </c>
      <c r="P25" s="19" t="s">
        <v>34</v>
      </c>
      <c r="Q25" s="19"/>
      <c r="R25" s="5" t="s">
        <v>321</v>
      </c>
      <c r="S25" s="5">
        <v>43</v>
      </c>
      <c r="T25" s="19" t="s">
        <v>34</v>
      </c>
      <c r="U25" s="19" t="s">
        <v>34</v>
      </c>
      <c r="V25" s="19"/>
      <c r="W25" s="5" t="s">
        <v>321</v>
      </c>
      <c r="X25" s="5">
        <v>43</v>
      </c>
      <c r="Y25" s="19" t="s">
        <v>34</v>
      </c>
      <c r="Z25" s="19"/>
      <c r="AA25" s="19"/>
      <c r="AB25" s="5" t="s">
        <v>321</v>
      </c>
      <c r="AC25" s="5">
        <v>43</v>
      </c>
      <c r="AD25" s="19" t="s">
        <v>1346</v>
      </c>
      <c r="AE25" s="19" t="s">
        <v>34</v>
      </c>
      <c r="AF25" s="19" t="s">
        <v>1347</v>
      </c>
      <c r="AG25" s="5" t="s">
        <v>321</v>
      </c>
      <c r="AH25" s="5">
        <v>43</v>
      </c>
      <c r="AI25" s="19" t="s">
        <v>34</v>
      </c>
      <c r="AJ25" s="19"/>
      <c r="AK25" s="19"/>
      <c r="AL25" s="5" t="s">
        <v>321</v>
      </c>
      <c r="AM25" s="5">
        <v>43</v>
      </c>
      <c r="AN25" s="19" t="s">
        <v>34</v>
      </c>
      <c r="AO25" s="19"/>
      <c r="AP25" s="19"/>
    </row>
    <row r="26" spans="1:42" ht="15.75" customHeight="1" x14ac:dyDescent="0.15">
      <c r="A26" s="19">
        <v>79</v>
      </c>
      <c r="B26" s="19" t="s">
        <v>303</v>
      </c>
      <c r="C26" s="5" t="s">
        <v>327</v>
      </c>
      <c r="D26" s="5">
        <v>47</v>
      </c>
      <c r="E26" s="19" t="s">
        <v>34</v>
      </c>
      <c r="F26" s="19" t="s">
        <v>34</v>
      </c>
      <c r="G26" s="19"/>
      <c r="H26" s="5" t="s">
        <v>327</v>
      </c>
      <c r="I26" s="5">
        <v>47</v>
      </c>
      <c r="J26" s="19" t="s">
        <v>34</v>
      </c>
      <c r="K26" s="19" t="s">
        <v>34</v>
      </c>
      <c r="L26" s="19"/>
      <c r="M26" s="5" t="s">
        <v>327</v>
      </c>
      <c r="N26" s="5">
        <v>47</v>
      </c>
      <c r="O26" s="19" t="s">
        <v>34</v>
      </c>
      <c r="P26" s="19" t="s">
        <v>34</v>
      </c>
      <c r="Q26" s="19"/>
      <c r="R26" s="5" t="s">
        <v>327</v>
      </c>
      <c r="S26" s="5">
        <v>47</v>
      </c>
      <c r="T26" s="19" t="s">
        <v>34</v>
      </c>
      <c r="U26" s="19" t="s">
        <v>34</v>
      </c>
      <c r="V26" s="19"/>
      <c r="W26" s="5" t="s">
        <v>327</v>
      </c>
      <c r="X26" s="5">
        <v>47</v>
      </c>
      <c r="Y26" s="19" t="s">
        <v>34</v>
      </c>
      <c r="Z26" s="19"/>
      <c r="AA26" s="19"/>
      <c r="AB26" s="5" t="s">
        <v>327</v>
      </c>
      <c r="AC26" s="5">
        <v>47</v>
      </c>
      <c r="AD26" s="19" t="s">
        <v>1348</v>
      </c>
      <c r="AE26" s="19"/>
      <c r="AF26" s="19"/>
      <c r="AG26" s="5" t="s">
        <v>327</v>
      </c>
      <c r="AH26" s="5">
        <v>47</v>
      </c>
      <c r="AI26" s="19" t="s">
        <v>34</v>
      </c>
      <c r="AJ26" s="19"/>
      <c r="AK26" s="19"/>
      <c r="AL26" s="5" t="s">
        <v>327</v>
      </c>
      <c r="AM26" s="5">
        <v>47</v>
      </c>
      <c r="AN26" s="19" t="s">
        <v>34</v>
      </c>
      <c r="AO26" s="19"/>
      <c r="AP26" s="19"/>
    </row>
    <row r="27" spans="1:42" ht="15.75" customHeight="1" x14ac:dyDescent="0.15">
      <c r="A27" s="5">
        <v>4316</v>
      </c>
      <c r="B27" s="5" t="s">
        <v>332</v>
      </c>
      <c r="C27" s="5" t="s">
        <v>33</v>
      </c>
      <c r="D27" s="5">
        <v>49</v>
      </c>
      <c r="E27" s="5" t="s">
        <v>1349</v>
      </c>
      <c r="F27" s="5" t="s">
        <v>1350</v>
      </c>
      <c r="G27" s="19" t="s">
        <v>1351</v>
      </c>
      <c r="H27" s="5" t="s">
        <v>33</v>
      </c>
      <c r="I27" s="5">
        <v>49</v>
      </c>
      <c r="J27" s="5">
        <v>21</v>
      </c>
      <c r="K27" s="5" t="s">
        <v>1154</v>
      </c>
      <c r="L27" s="19" t="s">
        <v>1352</v>
      </c>
      <c r="M27" s="5" t="s">
        <v>33</v>
      </c>
      <c r="N27" s="5">
        <v>49</v>
      </c>
      <c r="O27" s="5" t="s">
        <v>34</v>
      </c>
      <c r="P27" s="5" t="s">
        <v>34</v>
      </c>
      <c r="Q27" s="19"/>
      <c r="R27" s="5" t="s">
        <v>33</v>
      </c>
      <c r="S27" s="5">
        <v>49</v>
      </c>
      <c r="T27" s="5" t="s">
        <v>34</v>
      </c>
      <c r="U27" s="5" t="s">
        <v>34</v>
      </c>
      <c r="V27" s="19"/>
      <c r="W27" s="5" t="s">
        <v>33</v>
      </c>
      <c r="X27" s="5">
        <v>49</v>
      </c>
      <c r="Y27" s="5" t="s">
        <v>34</v>
      </c>
      <c r="Z27" s="5" t="s">
        <v>34</v>
      </c>
      <c r="AA27" s="19"/>
      <c r="AB27" s="5" t="s">
        <v>33</v>
      </c>
      <c r="AC27" s="5">
        <v>49</v>
      </c>
      <c r="AD27" s="5" t="s">
        <v>34</v>
      </c>
      <c r="AE27" s="5" t="s">
        <v>34</v>
      </c>
      <c r="AF27" s="19"/>
      <c r="AG27" s="5" t="s">
        <v>33</v>
      </c>
      <c r="AH27" s="5">
        <v>49</v>
      </c>
      <c r="AI27" s="5" t="s">
        <v>34</v>
      </c>
      <c r="AJ27" s="5" t="s">
        <v>34</v>
      </c>
      <c r="AK27" s="19"/>
      <c r="AL27" s="5" t="s">
        <v>33</v>
      </c>
      <c r="AM27" s="5">
        <v>49</v>
      </c>
      <c r="AN27" s="5" t="s">
        <v>34</v>
      </c>
      <c r="AO27" s="5" t="s">
        <v>34</v>
      </c>
      <c r="AP27" s="19"/>
    </row>
    <row r="28" spans="1:42" ht="15.75" customHeight="1" x14ac:dyDescent="0.15">
      <c r="A28" s="5">
        <v>4316</v>
      </c>
      <c r="B28" s="5" t="s">
        <v>332</v>
      </c>
      <c r="C28" s="5" t="s">
        <v>46</v>
      </c>
      <c r="D28" s="5">
        <v>371</v>
      </c>
      <c r="E28" s="5" t="s">
        <v>1353</v>
      </c>
      <c r="F28" s="5" t="s">
        <v>34</v>
      </c>
      <c r="G28" s="19"/>
      <c r="H28" s="5" t="s">
        <v>46</v>
      </c>
      <c r="I28" s="5">
        <v>371</v>
      </c>
      <c r="J28" s="5">
        <v>271</v>
      </c>
      <c r="K28" s="5" t="s">
        <v>34</v>
      </c>
      <c r="L28" s="19" t="s">
        <v>1354</v>
      </c>
      <c r="M28" s="5" t="s">
        <v>46</v>
      </c>
      <c r="N28" s="5">
        <v>371</v>
      </c>
      <c r="O28" s="5" t="s">
        <v>34</v>
      </c>
      <c r="P28" s="5" t="s">
        <v>34</v>
      </c>
      <c r="Q28" s="19"/>
      <c r="R28" s="5" t="s">
        <v>46</v>
      </c>
      <c r="S28" s="5">
        <v>371</v>
      </c>
      <c r="T28" s="5" t="s">
        <v>34</v>
      </c>
      <c r="U28" s="5" t="s">
        <v>34</v>
      </c>
      <c r="V28" s="19"/>
      <c r="W28" s="5" t="s">
        <v>46</v>
      </c>
      <c r="X28" s="5">
        <v>371</v>
      </c>
      <c r="Y28" s="5" t="s">
        <v>34</v>
      </c>
      <c r="Z28" s="5" t="s">
        <v>34</v>
      </c>
      <c r="AA28" s="19"/>
      <c r="AB28" s="5" t="s">
        <v>46</v>
      </c>
      <c r="AC28" s="5">
        <v>371</v>
      </c>
      <c r="AD28" s="5" t="s">
        <v>34</v>
      </c>
      <c r="AE28" s="5" t="s">
        <v>34</v>
      </c>
      <c r="AF28" s="19"/>
      <c r="AG28" s="5" t="s">
        <v>46</v>
      </c>
      <c r="AH28" s="5">
        <v>371</v>
      </c>
      <c r="AI28" s="5" t="s">
        <v>34</v>
      </c>
      <c r="AJ28" s="5" t="s">
        <v>34</v>
      </c>
      <c r="AK28" s="19"/>
      <c r="AL28" s="5" t="s">
        <v>46</v>
      </c>
      <c r="AM28" s="5">
        <v>371</v>
      </c>
      <c r="AN28" s="5" t="s">
        <v>34</v>
      </c>
      <c r="AO28" s="5" t="s">
        <v>34</v>
      </c>
      <c r="AP28" s="19"/>
    </row>
    <row r="29" spans="1:42" ht="15.75" customHeight="1" x14ac:dyDescent="0.15">
      <c r="A29" s="5">
        <v>6659</v>
      </c>
      <c r="B29" s="5" t="s">
        <v>365</v>
      </c>
      <c r="C29" s="5" t="s">
        <v>33</v>
      </c>
      <c r="D29" s="5">
        <v>30</v>
      </c>
      <c r="E29" s="5" t="s">
        <v>34</v>
      </c>
      <c r="F29" s="5" t="s">
        <v>34</v>
      </c>
      <c r="G29" s="19"/>
      <c r="H29" s="5" t="s">
        <v>33</v>
      </c>
      <c r="I29" s="5">
        <v>30</v>
      </c>
      <c r="J29" s="5" t="s">
        <v>34</v>
      </c>
      <c r="K29" s="5" t="s">
        <v>34</v>
      </c>
      <c r="L29" s="19"/>
      <c r="M29" s="5" t="s">
        <v>33</v>
      </c>
      <c r="N29" s="5">
        <v>30</v>
      </c>
      <c r="O29" s="5" t="s">
        <v>34</v>
      </c>
      <c r="P29" s="5" t="s">
        <v>34</v>
      </c>
      <c r="Q29" s="19"/>
      <c r="R29" s="5" t="s">
        <v>33</v>
      </c>
      <c r="S29" s="5">
        <v>30</v>
      </c>
      <c r="T29" s="5" t="s">
        <v>34</v>
      </c>
      <c r="U29" s="5" t="s">
        <v>34</v>
      </c>
      <c r="V29" s="19"/>
      <c r="W29" s="5" t="s">
        <v>33</v>
      </c>
      <c r="X29" s="5">
        <v>30</v>
      </c>
      <c r="Y29" s="5" t="s">
        <v>34</v>
      </c>
      <c r="Z29" s="5" t="s">
        <v>34</v>
      </c>
      <c r="AA29" s="19"/>
      <c r="AB29" s="5" t="s">
        <v>33</v>
      </c>
      <c r="AC29" s="5">
        <v>30</v>
      </c>
      <c r="AD29" s="5" t="s">
        <v>1355</v>
      </c>
      <c r="AE29" s="5" t="s">
        <v>34</v>
      </c>
      <c r="AF29" s="19"/>
      <c r="AG29" s="5" t="s">
        <v>33</v>
      </c>
      <c r="AH29" s="5">
        <v>30</v>
      </c>
      <c r="AI29" s="5" t="s">
        <v>34</v>
      </c>
      <c r="AJ29" s="5" t="s">
        <v>34</v>
      </c>
      <c r="AK29" s="19"/>
      <c r="AL29" s="5" t="s">
        <v>33</v>
      </c>
      <c r="AM29" s="5">
        <v>30</v>
      </c>
      <c r="AN29" s="5" t="s">
        <v>34</v>
      </c>
      <c r="AO29" s="5" t="s">
        <v>34</v>
      </c>
      <c r="AP29" s="19"/>
    </row>
    <row r="30" spans="1:42" ht="15.75" customHeight="1" x14ac:dyDescent="0.15">
      <c r="A30" s="5">
        <v>6659</v>
      </c>
      <c r="B30" s="5" t="s">
        <v>365</v>
      </c>
      <c r="C30" s="19" t="s">
        <v>376</v>
      </c>
      <c r="D30" s="19">
        <v>162</v>
      </c>
      <c r="E30" s="5" t="s">
        <v>34</v>
      </c>
      <c r="F30" s="5" t="s">
        <v>34</v>
      </c>
      <c r="G30" s="19"/>
      <c r="H30" s="19" t="s">
        <v>376</v>
      </c>
      <c r="I30" s="19">
        <v>162</v>
      </c>
      <c r="J30" s="5" t="s">
        <v>34</v>
      </c>
      <c r="K30" s="5" t="s">
        <v>34</v>
      </c>
      <c r="L30" s="19"/>
      <c r="M30" s="19" t="s">
        <v>376</v>
      </c>
      <c r="N30" s="19">
        <v>162</v>
      </c>
      <c r="O30" s="5" t="s">
        <v>34</v>
      </c>
      <c r="P30" s="5" t="s">
        <v>34</v>
      </c>
      <c r="Q30" s="19"/>
      <c r="R30" s="19" t="s">
        <v>376</v>
      </c>
      <c r="S30" s="19">
        <v>162</v>
      </c>
      <c r="T30" s="5" t="s">
        <v>34</v>
      </c>
      <c r="U30" s="5" t="s">
        <v>34</v>
      </c>
      <c r="V30" s="19"/>
      <c r="W30" s="19" t="s">
        <v>376</v>
      </c>
      <c r="X30" s="19">
        <v>162</v>
      </c>
      <c r="Y30" s="5" t="s">
        <v>34</v>
      </c>
      <c r="Z30" s="5" t="s">
        <v>34</v>
      </c>
      <c r="AA30" s="19"/>
      <c r="AB30" s="19" t="s">
        <v>376</v>
      </c>
      <c r="AC30" s="19">
        <v>162</v>
      </c>
      <c r="AD30" s="5" t="s">
        <v>1356</v>
      </c>
      <c r="AE30" s="5" t="s">
        <v>34</v>
      </c>
      <c r="AF30" s="19"/>
      <c r="AG30" s="19" t="s">
        <v>376</v>
      </c>
      <c r="AH30" s="19">
        <v>162</v>
      </c>
      <c r="AI30" s="5" t="s">
        <v>34</v>
      </c>
      <c r="AJ30" s="5" t="s">
        <v>34</v>
      </c>
      <c r="AK30" s="19"/>
      <c r="AL30" s="19" t="s">
        <v>376</v>
      </c>
      <c r="AM30" s="19">
        <v>162</v>
      </c>
      <c r="AN30" s="5" t="s">
        <v>34</v>
      </c>
      <c r="AO30" s="5" t="s">
        <v>34</v>
      </c>
      <c r="AP30" s="19"/>
    </row>
    <row r="31" spans="1:42" ht="15.75" customHeight="1" x14ac:dyDescent="0.15">
      <c r="A31" s="5">
        <v>1614</v>
      </c>
      <c r="B31" s="5" t="s">
        <v>405</v>
      </c>
      <c r="C31" s="5" t="s">
        <v>33</v>
      </c>
      <c r="D31" s="19"/>
      <c r="E31" s="5" t="s">
        <v>34</v>
      </c>
      <c r="F31" s="19" t="s">
        <v>34</v>
      </c>
      <c r="G31" s="19"/>
      <c r="H31" s="5" t="s">
        <v>33</v>
      </c>
      <c r="I31" s="19"/>
      <c r="J31" s="5" t="s">
        <v>34</v>
      </c>
      <c r="K31" s="19" t="s">
        <v>34</v>
      </c>
      <c r="L31" s="19"/>
      <c r="M31" s="5" t="s">
        <v>33</v>
      </c>
      <c r="N31" s="19"/>
      <c r="O31" s="5" t="s">
        <v>34</v>
      </c>
      <c r="P31" s="19" t="s">
        <v>34</v>
      </c>
      <c r="Q31" s="19"/>
      <c r="R31" s="5" t="s">
        <v>33</v>
      </c>
      <c r="S31" s="19"/>
      <c r="T31" s="5" t="s">
        <v>34</v>
      </c>
      <c r="U31" s="19" t="s">
        <v>34</v>
      </c>
      <c r="V31" s="19"/>
      <c r="W31" s="5" t="s">
        <v>33</v>
      </c>
      <c r="X31" s="19"/>
      <c r="Y31" s="5" t="s">
        <v>34</v>
      </c>
      <c r="Z31" s="19" t="s">
        <v>34</v>
      </c>
      <c r="AA31" s="19" t="s">
        <v>1357</v>
      </c>
      <c r="AB31" s="5" t="s">
        <v>1358</v>
      </c>
      <c r="AC31" s="19">
        <v>8</v>
      </c>
      <c r="AD31" s="19" t="s">
        <v>1359</v>
      </c>
      <c r="AE31" s="5" t="s">
        <v>34</v>
      </c>
      <c r="AF31" s="5" t="s">
        <v>1360</v>
      </c>
      <c r="AG31" s="5" t="s">
        <v>1358</v>
      </c>
      <c r="AH31" s="19">
        <v>8</v>
      </c>
      <c r="AI31" s="19" t="s">
        <v>1361</v>
      </c>
      <c r="AJ31" s="5" t="s">
        <v>34</v>
      </c>
      <c r="AK31" s="74" t="s">
        <v>1362</v>
      </c>
      <c r="AL31" s="5" t="s">
        <v>33</v>
      </c>
      <c r="AM31" s="19"/>
      <c r="AN31" s="5" t="s">
        <v>34</v>
      </c>
      <c r="AO31" s="19" t="s">
        <v>34</v>
      </c>
      <c r="AP31" s="19"/>
    </row>
    <row r="32" spans="1:42" ht="15.75" customHeight="1" x14ac:dyDescent="0.15">
      <c r="A32" s="5">
        <v>1614</v>
      </c>
      <c r="B32" s="5" t="s">
        <v>405</v>
      </c>
      <c r="C32" s="5" t="s">
        <v>46</v>
      </c>
      <c r="D32" s="19"/>
      <c r="E32" s="5" t="s">
        <v>34</v>
      </c>
      <c r="F32" s="19" t="s">
        <v>34</v>
      </c>
      <c r="G32" s="19"/>
      <c r="H32" s="5" t="s">
        <v>46</v>
      </c>
      <c r="I32" s="19"/>
      <c r="J32" s="5" t="s">
        <v>34</v>
      </c>
      <c r="K32" s="19" t="s">
        <v>34</v>
      </c>
      <c r="L32" s="19"/>
      <c r="M32" s="5" t="s">
        <v>46</v>
      </c>
      <c r="N32" s="19"/>
      <c r="O32" s="5" t="s">
        <v>34</v>
      </c>
      <c r="P32" s="19" t="s">
        <v>34</v>
      </c>
      <c r="Q32" s="19"/>
      <c r="R32" s="5" t="s">
        <v>46</v>
      </c>
      <c r="S32" s="19"/>
      <c r="T32" s="5" t="s">
        <v>34</v>
      </c>
      <c r="U32" s="19" t="s">
        <v>34</v>
      </c>
      <c r="V32" s="19"/>
      <c r="W32" s="5" t="s">
        <v>46</v>
      </c>
      <c r="X32" s="19"/>
      <c r="Y32" s="5" t="s">
        <v>34</v>
      </c>
      <c r="Z32" s="19" t="s">
        <v>34</v>
      </c>
      <c r="AA32" s="19" t="s">
        <v>1363</v>
      </c>
      <c r="AB32" s="19" t="s">
        <v>1364</v>
      </c>
      <c r="AC32" s="19">
        <v>32</v>
      </c>
      <c r="AD32" s="19" t="s">
        <v>1365</v>
      </c>
      <c r="AE32" s="19"/>
      <c r="AF32" s="5" t="s">
        <v>1366</v>
      </c>
      <c r="AG32" s="19" t="s">
        <v>1364</v>
      </c>
      <c r="AH32" s="19">
        <v>32</v>
      </c>
      <c r="AI32" s="19" t="s">
        <v>1367</v>
      </c>
      <c r="AJ32" s="19"/>
      <c r="AK32" s="75"/>
      <c r="AL32" s="5" t="s">
        <v>46</v>
      </c>
      <c r="AM32" s="19"/>
      <c r="AN32" s="5" t="s">
        <v>34</v>
      </c>
      <c r="AO32" s="19" t="s">
        <v>34</v>
      </c>
      <c r="AP32" s="19"/>
    </row>
    <row r="33" spans="1:42" ht="15.75" customHeight="1" x14ac:dyDescent="0.15">
      <c r="A33" s="5">
        <v>1614</v>
      </c>
      <c r="B33" s="5" t="s">
        <v>405</v>
      </c>
      <c r="C33" s="19"/>
      <c r="D33" s="19"/>
      <c r="E33" s="5" t="s">
        <v>34</v>
      </c>
      <c r="F33" s="19"/>
      <c r="G33" s="19"/>
      <c r="H33" s="19"/>
      <c r="I33" s="19"/>
      <c r="J33" s="5" t="s">
        <v>34</v>
      </c>
      <c r="K33" s="19"/>
      <c r="L33" s="19"/>
      <c r="M33" s="19"/>
      <c r="N33" s="19"/>
      <c r="O33" s="5" t="s">
        <v>34</v>
      </c>
      <c r="P33" s="19"/>
      <c r="Q33" s="19"/>
      <c r="R33" s="19"/>
      <c r="S33" s="19"/>
      <c r="T33" s="5" t="s">
        <v>34</v>
      </c>
      <c r="U33" s="19"/>
      <c r="V33" s="19"/>
      <c r="W33" s="19"/>
      <c r="X33" s="19"/>
      <c r="Y33" s="5" t="s">
        <v>34</v>
      </c>
      <c r="Z33" s="19"/>
      <c r="AA33" s="19" t="s">
        <v>1368</v>
      </c>
      <c r="AB33" s="19" t="s">
        <v>1369</v>
      </c>
      <c r="AC33" s="19">
        <v>37</v>
      </c>
      <c r="AD33" s="19" t="s">
        <v>1370</v>
      </c>
      <c r="AE33" s="19"/>
      <c r="AF33" s="19"/>
      <c r="AG33" s="19" t="s">
        <v>1369</v>
      </c>
      <c r="AH33" s="19">
        <v>37</v>
      </c>
      <c r="AI33" s="19" t="s">
        <v>1371</v>
      </c>
      <c r="AJ33" s="19"/>
      <c r="AK33" s="75"/>
      <c r="AL33" s="19"/>
      <c r="AM33" s="19"/>
      <c r="AN33" s="5" t="s">
        <v>34</v>
      </c>
      <c r="AO33" s="19"/>
      <c r="AP33" s="19"/>
    </row>
    <row r="34" spans="1:42" ht="15.75" customHeight="1" x14ac:dyDescent="0.15">
      <c r="A34" s="5">
        <v>1614</v>
      </c>
      <c r="B34" s="5" t="s">
        <v>405</v>
      </c>
      <c r="C34" s="19"/>
      <c r="D34" s="19"/>
      <c r="E34" s="5" t="s">
        <v>34</v>
      </c>
      <c r="F34" s="19"/>
      <c r="G34" s="19"/>
      <c r="H34" s="19"/>
      <c r="I34" s="19"/>
      <c r="J34" s="5" t="s">
        <v>34</v>
      </c>
      <c r="K34" s="19"/>
      <c r="L34" s="19"/>
      <c r="M34" s="19"/>
      <c r="N34" s="19"/>
      <c r="O34" s="5" t="s">
        <v>34</v>
      </c>
      <c r="P34" s="19"/>
      <c r="Q34" s="19"/>
      <c r="R34" s="19"/>
      <c r="S34" s="19"/>
      <c r="T34" s="5" t="s">
        <v>34</v>
      </c>
      <c r="U34" s="19"/>
      <c r="V34" s="19"/>
      <c r="W34" s="19"/>
      <c r="X34" s="19"/>
      <c r="Y34" s="5" t="s">
        <v>34</v>
      </c>
      <c r="Z34" s="19"/>
      <c r="AA34" s="19" t="s">
        <v>1372</v>
      </c>
      <c r="AB34" s="19" t="s">
        <v>1373</v>
      </c>
      <c r="AC34" s="19">
        <v>66</v>
      </c>
      <c r="AD34" s="19" t="s">
        <v>1374</v>
      </c>
      <c r="AE34" s="19"/>
      <c r="AF34" s="19"/>
      <c r="AG34" s="19" t="s">
        <v>1373</v>
      </c>
      <c r="AH34" s="19">
        <v>66</v>
      </c>
      <c r="AI34" s="19" t="s">
        <v>1375</v>
      </c>
      <c r="AJ34" s="19"/>
      <c r="AK34" s="75"/>
      <c r="AL34" s="19"/>
      <c r="AM34" s="19"/>
      <c r="AN34" s="5" t="s">
        <v>34</v>
      </c>
      <c r="AO34" s="19"/>
      <c r="AP34" s="19"/>
    </row>
    <row r="35" spans="1:42" ht="15.75" customHeight="1" x14ac:dyDescent="0.15">
      <c r="A35" s="5">
        <v>1614</v>
      </c>
      <c r="B35" s="5" t="s">
        <v>405</v>
      </c>
      <c r="C35" s="19"/>
      <c r="D35" s="19"/>
      <c r="E35" s="5" t="s">
        <v>34</v>
      </c>
      <c r="F35" s="19"/>
      <c r="G35" s="19"/>
      <c r="H35" s="19"/>
      <c r="I35" s="19"/>
      <c r="J35" s="5" t="s">
        <v>34</v>
      </c>
      <c r="K35" s="19"/>
      <c r="L35" s="19"/>
      <c r="M35" s="19"/>
      <c r="N35" s="19"/>
      <c r="O35" s="5" t="s">
        <v>34</v>
      </c>
      <c r="P35" s="19"/>
      <c r="Q35" s="19"/>
      <c r="R35" s="19"/>
      <c r="S35" s="19"/>
      <c r="T35" s="5" t="s">
        <v>34</v>
      </c>
      <c r="U35" s="19"/>
      <c r="V35" s="19"/>
      <c r="W35" s="19"/>
      <c r="X35" s="19"/>
      <c r="Y35" s="5" t="s">
        <v>34</v>
      </c>
      <c r="Z35" s="19"/>
      <c r="AA35" s="19" t="s">
        <v>1376</v>
      </c>
      <c r="AB35" s="19" t="s">
        <v>1377</v>
      </c>
      <c r="AC35" s="19">
        <v>59</v>
      </c>
      <c r="AD35" s="19" t="s">
        <v>1378</v>
      </c>
      <c r="AE35" s="19"/>
      <c r="AF35" s="19"/>
      <c r="AG35" s="19" t="s">
        <v>1377</v>
      </c>
      <c r="AH35" s="19">
        <v>59</v>
      </c>
      <c r="AI35" s="19" t="s">
        <v>1379</v>
      </c>
      <c r="AJ35" s="19"/>
      <c r="AK35" s="75"/>
      <c r="AL35" s="19"/>
      <c r="AM35" s="19"/>
      <c r="AN35" s="5" t="s">
        <v>34</v>
      </c>
      <c r="AO35" s="19"/>
      <c r="AP35" s="19"/>
    </row>
    <row r="36" spans="1:42" ht="15.75" customHeight="1" x14ac:dyDescent="0.15">
      <c r="A36" s="5">
        <v>1614</v>
      </c>
      <c r="B36" s="5" t="s">
        <v>405</v>
      </c>
      <c r="C36" s="19"/>
      <c r="D36" s="19"/>
      <c r="E36" s="5" t="s">
        <v>34</v>
      </c>
      <c r="F36" s="19"/>
      <c r="G36" s="19"/>
      <c r="H36" s="19"/>
      <c r="I36" s="19"/>
      <c r="J36" s="5" t="s">
        <v>34</v>
      </c>
      <c r="K36" s="19"/>
      <c r="L36" s="19"/>
      <c r="M36" s="19"/>
      <c r="N36" s="19"/>
      <c r="O36" s="5" t="s">
        <v>34</v>
      </c>
      <c r="P36" s="19"/>
      <c r="Q36" s="19"/>
      <c r="R36" s="19"/>
      <c r="S36" s="19"/>
      <c r="T36" s="5" t="s">
        <v>34</v>
      </c>
      <c r="U36" s="19"/>
      <c r="V36" s="19"/>
      <c r="W36" s="19"/>
      <c r="X36" s="19"/>
      <c r="Y36" s="5" t="s">
        <v>34</v>
      </c>
      <c r="Z36" s="19"/>
      <c r="AA36" s="19" t="s">
        <v>1380</v>
      </c>
      <c r="AB36" s="19" t="s">
        <v>1381</v>
      </c>
      <c r="AC36" s="19">
        <v>56</v>
      </c>
      <c r="AD36" s="19" t="s">
        <v>1382</v>
      </c>
      <c r="AE36" s="19"/>
      <c r="AF36" s="19"/>
      <c r="AG36" s="19" t="s">
        <v>1381</v>
      </c>
      <c r="AH36" s="19">
        <v>56</v>
      </c>
      <c r="AI36" s="19" t="s">
        <v>1383</v>
      </c>
      <c r="AJ36" s="19"/>
      <c r="AK36" s="75"/>
      <c r="AL36" s="19"/>
      <c r="AM36" s="19"/>
      <c r="AN36" s="5" t="s">
        <v>34</v>
      </c>
      <c r="AO36" s="19"/>
      <c r="AP36" s="19"/>
    </row>
    <row r="37" spans="1:42" ht="15.75" customHeight="1" x14ac:dyDescent="0.15">
      <c r="A37" s="5">
        <v>1614</v>
      </c>
      <c r="B37" s="5" t="s">
        <v>405</v>
      </c>
      <c r="C37" s="19"/>
      <c r="D37" s="19"/>
      <c r="E37" s="5" t="s">
        <v>34</v>
      </c>
      <c r="F37" s="19"/>
      <c r="G37" s="19"/>
      <c r="H37" s="19"/>
      <c r="I37" s="19"/>
      <c r="J37" s="5" t="s">
        <v>34</v>
      </c>
      <c r="K37" s="19"/>
      <c r="L37" s="19"/>
      <c r="M37" s="19"/>
      <c r="N37" s="19"/>
      <c r="O37" s="5" t="s">
        <v>34</v>
      </c>
      <c r="P37" s="19"/>
      <c r="Q37" s="19"/>
      <c r="R37" s="19"/>
      <c r="S37" s="19"/>
      <c r="T37" s="5" t="s">
        <v>34</v>
      </c>
      <c r="U37" s="19"/>
      <c r="V37" s="19"/>
      <c r="W37" s="19"/>
      <c r="X37" s="19"/>
      <c r="Y37" s="5" t="s">
        <v>34</v>
      </c>
      <c r="Z37" s="19"/>
      <c r="AA37" s="19" t="s">
        <v>1384</v>
      </c>
      <c r="AB37" s="19" t="s">
        <v>1385</v>
      </c>
      <c r="AC37" s="19">
        <v>27</v>
      </c>
      <c r="AD37" s="19" t="s">
        <v>1386</v>
      </c>
      <c r="AE37" s="19"/>
      <c r="AF37" s="19"/>
      <c r="AG37" s="19" t="s">
        <v>1385</v>
      </c>
      <c r="AH37" s="19">
        <v>27</v>
      </c>
      <c r="AI37" s="19" t="s">
        <v>1387</v>
      </c>
      <c r="AJ37" s="19"/>
      <c r="AK37" s="75"/>
      <c r="AL37" s="19"/>
      <c r="AM37" s="19"/>
      <c r="AN37" s="5" t="s">
        <v>34</v>
      </c>
      <c r="AO37" s="19"/>
      <c r="AP37" s="19"/>
    </row>
    <row r="38" spans="1:42" ht="15.75" customHeight="1" x14ac:dyDescent="0.15">
      <c r="A38" s="5">
        <v>1614</v>
      </c>
      <c r="B38" s="5" t="s">
        <v>405</v>
      </c>
      <c r="C38" s="19"/>
      <c r="D38" s="19"/>
      <c r="E38" s="5" t="s">
        <v>34</v>
      </c>
      <c r="F38" s="19"/>
      <c r="G38" s="19"/>
      <c r="H38" s="19"/>
      <c r="I38" s="19"/>
      <c r="J38" s="5" t="s">
        <v>34</v>
      </c>
      <c r="K38" s="19"/>
      <c r="L38" s="19"/>
      <c r="M38" s="19"/>
      <c r="N38" s="19"/>
      <c r="O38" s="5" t="s">
        <v>34</v>
      </c>
      <c r="P38" s="19"/>
      <c r="Q38" s="19"/>
      <c r="R38" s="19"/>
      <c r="S38" s="19"/>
      <c r="T38" s="5" t="s">
        <v>34</v>
      </c>
      <c r="U38" s="19"/>
      <c r="V38" s="19"/>
      <c r="W38" s="19"/>
      <c r="X38" s="19"/>
      <c r="Y38" s="5" t="s">
        <v>34</v>
      </c>
      <c r="Z38" s="19"/>
      <c r="AA38" s="19" t="s">
        <v>1388</v>
      </c>
      <c r="AB38" s="19" t="s">
        <v>1389</v>
      </c>
      <c r="AC38" s="19">
        <v>16</v>
      </c>
      <c r="AD38" s="19" t="s">
        <v>1390</v>
      </c>
      <c r="AE38" s="19"/>
      <c r="AF38" s="19"/>
      <c r="AG38" s="19" t="s">
        <v>1389</v>
      </c>
      <c r="AH38" s="19">
        <v>16</v>
      </c>
      <c r="AI38" s="19" t="s">
        <v>1391</v>
      </c>
      <c r="AJ38" s="19"/>
      <c r="AK38" s="75"/>
      <c r="AL38" s="19"/>
      <c r="AM38" s="19"/>
      <c r="AN38" s="5" t="s">
        <v>34</v>
      </c>
      <c r="AO38" s="19"/>
      <c r="AP38" s="19"/>
    </row>
    <row r="39" spans="1:42" ht="15.75" customHeight="1" x14ac:dyDescent="0.15">
      <c r="A39" s="5">
        <v>1614</v>
      </c>
      <c r="B39" s="5" t="s">
        <v>405</v>
      </c>
      <c r="C39" s="19"/>
      <c r="D39" s="19"/>
      <c r="E39" s="5" t="s">
        <v>34</v>
      </c>
      <c r="F39" s="19"/>
      <c r="G39" s="19"/>
      <c r="H39" s="19"/>
      <c r="I39" s="19"/>
      <c r="J39" s="5" t="s">
        <v>34</v>
      </c>
      <c r="K39" s="19"/>
      <c r="L39" s="19"/>
      <c r="M39" s="19"/>
      <c r="N39" s="19"/>
      <c r="O39" s="5" t="s">
        <v>34</v>
      </c>
      <c r="P39" s="19"/>
      <c r="Q39" s="19"/>
      <c r="R39" s="19"/>
      <c r="S39" s="19"/>
      <c r="T39" s="5" t="s">
        <v>34</v>
      </c>
      <c r="U39" s="19"/>
      <c r="V39" s="19"/>
      <c r="W39" s="19"/>
      <c r="X39" s="19"/>
      <c r="Y39" s="5" t="s">
        <v>34</v>
      </c>
      <c r="Z39" s="19"/>
      <c r="AA39" s="19" t="s">
        <v>1392</v>
      </c>
      <c r="AB39" s="19" t="s">
        <v>1393</v>
      </c>
      <c r="AC39" s="19">
        <v>5</v>
      </c>
      <c r="AD39" s="19" t="s">
        <v>1394</v>
      </c>
      <c r="AE39" s="19"/>
      <c r="AF39" s="19"/>
      <c r="AG39" s="19" t="s">
        <v>1393</v>
      </c>
      <c r="AH39" s="19">
        <v>5</v>
      </c>
      <c r="AI39" s="19" t="s">
        <v>1395</v>
      </c>
      <c r="AJ39" s="19"/>
      <c r="AK39" s="75"/>
      <c r="AL39" s="19"/>
      <c r="AM39" s="19"/>
      <c r="AN39" s="5" t="s">
        <v>34</v>
      </c>
      <c r="AO39" s="19"/>
      <c r="AP39" s="19"/>
    </row>
    <row r="40" spans="1:42" ht="15.75" customHeight="1" x14ac:dyDescent="0.15">
      <c r="A40" s="5">
        <v>1614</v>
      </c>
      <c r="B40" s="5" t="s">
        <v>405</v>
      </c>
      <c r="C40" s="19"/>
      <c r="D40" s="19"/>
      <c r="E40" s="5" t="s">
        <v>34</v>
      </c>
      <c r="F40" s="19"/>
      <c r="G40" s="19"/>
      <c r="H40" s="19"/>
      <c r="I40" s="19"/>
      <c r="J40" s="5" t="s">
        <v>34</v>
      </c>
      <c r="K40" s="19"/>
      <c r="L40" s="19"/>
      <c r="M40" s="19"/>
      <c r="N40" s="19"/>
      <c r="O40" s="5" t="s">
        <v>34</v>
      </c>
      <c r="P40" s="19"/>
      <c r="Q40" s="19"/>
      <c r="R40" s="19"/>
      <c r="S40" s="19"/>
      <c r="T40" s="5" t="s">
        <v>34</v>
      </c>
      <c r="U40" s="19"/>
      <c r="V40" s="19"/>
      <c r="W40" s="19"/>
      <c r="X40" s="19"/>
      <c r="Y40" s="5" t="s">
        <v>34</v>
      </c>
      <c r="Z40" s="19"/>
      <c r="AA40" s="19" t="s">
        <v>1396</v>
      </c>
      <c r="AB40" s="19" t="s">
        <v>1397</v>
      </c>
      <c r="AC40" s="19">
        <v>6</v>
      </c>
      <c r="AD40" s="19" t="s">
        <v>1398</v>
      </c>
      <c r="AE40" s="19"/>
      <c r="AF40" s="19"/>
      <c r="AG40" s="19" t="s">
        <v>1397</v>
      </c>
      <c r="AH40" s="19">
        <v>6</v>
      </c>
      <c r="AI40" s="19" t="s">
        <v>1399</v>
      </c>
      <c r="AJ40" s="19"/>
      <c r="AK40" s="75"/>
      <c r="AL40" s="19"/>
      <c r="AM40" s="19"/>
      <c r="AN40" s="5" t="s">
        <v>34</v>
      </c>
      <c r="AO40" s="19"/>
      <c r="AP40" s="19"/>
    </row>
    <row r="41" spans="1:42" ht="15.75" customHeight="1" x14ac:dyDescent="0.15">
      <c r="A41" s="5">
        <v>1614</v>
      </c>
      <c r="B41" s="5" t="s">
        <v>405</v>
      </c>
      <c r="C41" s="19"/>
      <c r="D41" s="19"/>
      <c r="E41" s="5" t="s">
        <v>34</v>
      </c>
      <c r="F41" s="19"/>
      <c r="G41" s="19"/>
      <c r="H41" s="19"/>
      <c r="I41" s="19"/>
      <c r="J41" s="5" t="s">
        <v>34</v>
      </c>
      <c r="K41" s="19"/>
      <c r="L41" s="19"/>
      <c r="M41" s="19"/>
      <c r="N41" s="19"/>
      <c r="O41" s="5" t="s">
        <v>34</v>
      </c>
      <c r="P41" s="19"/>
      <c r="Q41" s="19"/>
      <c r="R41" s="19"/>
      <c r="S41" s="19"/>
      <c r="T41" s="5" t="s">
        <v>34</v>
      </c>
      <c r="U41" s="19"/>
      <c r="V41" s="19"/>
      <c r="W41" s="19"/>
      <c r="X41" s="19"/>
      <c r="Y41" s="5" t="s">
        <v>34</v>
      </c>
      <c r="Z41" s="19"/>
      <c r="AA41" s="19"/>
      <c r="AB41" s="20" t="s">
        <v>46</v>
      </c>
      <c r="AC41" s="20">
        <v>314</v>
      </c>
      <c r="AD41" s="20" t="s">
        <v>1400</v>
      </c>
      <c r="AE41" s="19"/>
      <c r="AF41" s="19"/>
      <c r="AG41" s="20" t="s">
        <v>46</v>
      </c>
      <c r="AH41" s="20">
        <v>314</v>
      </c>
      <c r="AI41" s="20" t="s">
        <v>1401</v>
      </c>
      <c r="AJ41" s="19"/>
      <c r="AK41" s="65"/>
      <c r="AL41" s="19"/>
      <c r="AM41" s="19"/>
      <c r="AN41" s="5" t="s">
        <v>34</v>
      </c>
      <c r="AO41" s="19"/>
      <c r="AP41" s="19"/>
    </row>
    <row r="42" spans="1:42" ht="15.75" customHeight="1" x14ac:dyDescent="0.15">
      <c r="A42" s="5">
        <v>1614</v>
      </c>
      <c r="B42" s="5" t="s">
        <v>405</v>
      </c>
      <c r="C42" s="19"/>
      <c r="D42" s="19"/>
      <c r="E42" s="5" t="s">
        <v>34</v>
      </c>
      <c r="F42" s="19"/>
      <c r="G42" s="19"/>
      <c r="H42" s="19"/>
      <c r="I42" s="19"/>
      <c r="J42" s="5" t="s">
        <v>34</v>
      </c>
      <c r="K42" s="19"/>
      <c r="L42" s="19"/>
      <c r="M42" s="19"/>
      <c r="N42" s="19"/>
      <c r="O42" s="5" t="s">
        <v>34</v>
      </c>
      <c r="P42" s="19"/>
      <c r="Q42" s="19"/>
      <c r="R42" s="19"/>
      <c r="S42" s="19"/>
      <c r="T42" s="5" t="s">
        <v>34</v>
      </c>
      <c r="U42" s="19"/>
      <c r="V42" s="19"/>
      <c r="W42" s="19"/>
      <c r="X42" s="19"/>
      <c r="Y42" s="5" t="s">
        <v>34</v>
      </c>
      <c r="Z42" s="19"/>
      <c r="AA42" s="19"/>
      <c r="AB42" s="5" t="s">
        <v>33</v>
      </c>
      <c r="AC42" s="5">
        <f>SUM(AC31:AC40)</f>
        <v>312</v>
      </c>
      <c r="AD42" s="5" t="s">
        <v>1402</v>
      </c>
      <c r="AE42" s="5" t="s">
        <v>1403</v>
      </c>
      <c r="AF42" s="19"/>
      <c r="AG42" s="5" t="s">
        <v>33</v>
      </c>
      <c r="AH42" s="5">
        <f>SUM(AH31:AH40)</f>
        <v>312</v>
      </c>
      <c r="AI42" s="20"/>
      <c r="AJ42" s="19"/>
      <c r="AK42" s="5"/>
      <c r="AL42" s="19"/>
      <c r="AM42" s="19"/>
      <c r="AN42" s="5" t="s">
        <v>34</v>
      </c>
      <c r="AO42" s="19"/>
      <c r="AP42" s="19"/>
    </row>
    <row r="43" spans="1:42" ht="49.5" customHeight="1" x14ac:dyDescent="0.15">
      <c r="A43" s="5">
        <v>1205</v>
      </c>
      <c r="B43" s="5" t="s">
        <v>453</v>
      </c>
      <c r="C43" s="5" t="s">
        <v>33</v>
      </c>
      <c r="D43" s="5">
        <v>105</v>
      </c>
      <c r="E43" s="5" t="s">
        <v>34</v>
      </c>
      <c r="F43" s="5" t="s">
        <v>34</v>
      </c>
      <c r="G43" s="19"/>
      <c r="H43" s="5" t="str">
        <f t="shared" ref="H43:I43" si="0">C43</f>
        <v>Tdap</v>
      </c>
      <c r="I43" s="5">
        <f t="shared" si="0"/>
        <v>105</v>
      </c>
      <c r="J43" s="5" t="s">
        <v>34</v>
      </c>
      <c r="K43" s="5" t="s">
        <v>34</v>
      </c>
      <c r="L43" s="19"/>
      <c r="M43" s="5" t="str">
        <f t="shared" ref="M43:N43" si="1">H43</f>
        <v>Tdap</v>
      </c>
      <c r="N43" s="5">
        <f t="shared" si="1"/>
        <v>105</v>
      </c>
      <c r="O43" s="5" t="s">
        <v>34</v>
      </c>
      <c r="P43" s="5" t="s">
        <v>34</v>
      </c>
      <c r="Q43" s="19"/>
      <c r="R43" s="5" t="str">
        <f t="shared" ref="R43:S43" si="2">M43</f>
        <v>Tdap</v>
      </c>
      <c r="S43" s="5">
        <f t="shared" si="2"/>
        <v>105</v>
      </c>
      <c r="T43" s="5" t="s">
        <v>1404</v>
      </c>
      <c r="U43" s="5" t="s">
        <v>34</v>
      </c>
      <c r="V43" s="5" t="s">
        <v>1405</v>
      </c>
      <c r="W43" s="5" t="str">
        <f t="shared" ref="W43:X43" si="3">R43</f>
        <v>Tdap</v>
      </c>
      <c r="X43" s="5">
        <f t="shared" si="3"/>
        <v>105</v>
      </c>
      <c r="Y43" s="5" t="s">
        <v>34</v>
      </c>
      <c r="Z43" s="5" t="s">
        <v>34</v>
      </c>
      <c r="AA43" s="19"/>
      <c r="AB43" s="5" t="str">
        <f t="shared" ref="AB43:AC43" si="4">W43</f>
        <v>Tdap</v>
      </c>
      <c r="AC43" s="5">
        <f t="shared" si="4"/>
        <v>105</v>
      </c>
      <c r="AD43" s="5" t="s">
        <v>1406</v>
      </c>
      <c r="AE43" s="5" t="s">
        <v>34</v>
      </c>
      <c r="AF43" s="19"/>
      <c r="AG43" s="5" t="str">
        <f t="shared" ref="AG43:AG44" si="5">AB43</f>
        <v>Tdap</v>
      </c>
      <c r="AH43" s="5" t="s">
        <v>1407</v>
      </c>
      <c r="AI43" s="5" t="s">
        <v>1408</v>
      </c>
      <c r="AJ43" s="5" t="s">
        <v>34</v>
      </c>
      <c r="AK43" s="5" t="s">
        <v>1409</v>
      </c>
      <c r="AL43" s="5" t="str">
        <f t="shared" ref="AL43:AL44" si="6">AG43</f>
        <v>Tdap</v>
      </c>
      <c r="AM43" s="5">
        <v>105</v>
      </c>
      <c r="AN43" s="5" t="s">
        <v>34</v>
      </c>
      <c r="AO43" s="5" t="s">
        <v>34</v>
      </c>
      <c r="AP43" s="19"/>
    </row>
    <row r="44" spans="1:42" ht="49.5" customHeight="1" x14ac:dyDescent="0.15">
      <c r="A44" s="5">
        <v>1205</v>
      </c>
      <c r="B44" s="5" t="s">
        <v>453</v>
      </c>
      <c r="C44" s="5" t="s">
        <v>46</v>
      </c>
      <c r="D44" s="5">
        <v>99</v>
      </c>
      <c r="E44" s="5" t="s">
        <v>34</v>
      </c>
      <c r="F44" s="5" t="s">
        <v>34</v>
      </c>
      <c r="G44" s="19"/>
      <c r="H44" s="5" t="str">
        <f t="shared" ref="H44:I44" si="7">C44</f>
        <v>No Tdap</v>
      </c>
      <c r="I44" s="5">
        <f t="shared" si="7"/>
        <v>99</v>
      </c>
      <c r="J44" s="5" t="s">
        <v>34</v>
      </c>
      <c r="K44" s="5" t="s">
        <v>34</v>
      </c>
      <c r="L44" s="19"/>
      <c r="M44" s="5" t="str">
        <f t="shared" ref="M44:N44" si="8">H44</f>
        <v>No Tdap</v>
      </c>
      <c r="N44" s="5">
        <f t="shared" si="8"/>
        <v>99</v>
      </c>
      <c r="O44" s="5" t="s">
        <v>34</v>
      </c>
      <c r="P44" s="5" t="s">
        <v>34</v>
      </c>
      <c r="Q44" s="19"/>
      <c r="R44" s="5" t="str">
        <f t="shared" ref="R44:S44" si="9">M44</f>
        <v>No Tdap</v>
      </c>
      <c r="S44" s="5">
        <f t="shared" si="9"/>
        <v>99</v>
      </c>
      <c r="T44" s="5" t="s">
        <v>1410</v>
      </c>
      <c r="U44" s="5" t="s">
        <v>34</v>
      </c>
      <c r="V44" s="19"/>
      <c r="W44" s="5" t="str">
        <f t="shared" ref="W44:X44" si="10">R44</f>
        <v>No Tdap</v>
      </c>
      <c r="X44" s="5">
        <f t="shared" si="10"/>
        <v>99</v>
      </c>
      <c r="Y44" s="5" t="s">
        <v>34</v>
      </c>
      <c r="Z44" s="5" t="s">
        <v>34</v>
      </c>
      <c r="AA44" s="19"/>
      <c r="AB44" s="5" t="str">
        <f t="shared" ref="AB44:AC44" si="11">W44</f>
        <v>No Tdap</v>
      </c>
      <c r="AC44" s="5">
        <f t="shared" si="11"/>
        <v>99</v>
      </c>
      <c r="AD44" s="5" t="s">
        <v>1411</v>
      </c>
      <c r="AE44" s="5" t="s">
        <v>34</v>
      </c>
      <c r="AF44" s="19"/>
      <c r="AG44" s="5" t="str">
        <f t="shared" si="5"/>
        <v>No Tdap</v>
      </c>
      <c r="AH44" s="5">
        <f>AC44</f>
        <v>99</v>
      </c>
      <c r="AI44" s="5" t="s">
        <v>34</v>
      </c>
      <c r="AJ44" s="5" t="s">
        <v>34</v>
      </c>
      <c r="AK44" s="19"/>
      <c r="AL44" s="5" t="str">
        <f t="shared" si="6"/>
        <v>No Tdap</v>
      </c>
      <c r="AM44" s="5">
        <f>AH44</f>
        <v>99</v>
      </c>
      <c r="AN44" s="5" t="s">
        <v>34</v>
      </c>
      <c r="AO44" s="5" t="s">
        <v>34</v>
      </c>
      <c r="AP44" s="19"/>
    </row>
    <row r="45" spans="1:42" ht="24" customHeight="1" x14ac:dyDescent="0.15">
      <c r="A45" s="5">
        <v>2479</v>
      </c>
      <c r="B45" s="5" t="s">
        <v>421</v>
      </c>
      <c r="C45" s="5" t="s">
        <v>433</v>
      </c>
      <c r="D45" s="5">
        <v>112</v>
      </c>
      <c r="E45" s="5" t="s">
        <v>34</v>
      </c>
      <c r="F45" s="5" t="s">
        <v>34</v>
      </c>
      <c r="G45" s="19"/>
      <c r="H45" s="5" t="s">
        <v>433</v>
      </c>
      <c r="I45" s="5">
        <v>112</v>
      </c>
      <c r="J45" s="5" t="s">
        <v>34</v>
      </c>
      <c r="K45" s="5" t="s">
        <v>34</v>
      </c>
      <c r="L45" s="19" t="s">
        <v>1412</v>
      </c>
      <c r="M45" s="5" t="s">
        <v>433</v>
      </c>
      <c r="N45" s="5">
        <v>112</v>
      </c>
      <c r="O45" s="5" t="s">
        <v>34</v>
      </c>
      <c r="P45" s="5" t="s">
        <v>34</v>
      </c>
      <c r="Q45" s="19" t="s">
        <v>1357</v>
      </c>
      <c r="R45" s="5" t="s">
        <v>433</v>
      </c>
      <c r="S45" s="5">
        <v>106</v>
      </c>
      <c r="T45" s="5" t="s">
        <v>1413</v>
      </c>
      <c r="U45" s="5" t="s">
        <v>34</v>
      </c>
      <c r="V45" s="5"/>
      <c r="W45" s="5" t="s">
        <v>433</v>
      </c>
      <c r="X45" s="5">
        <v>112</v>
      </c>
      <c r="Y45" s="5" t="s">
        <v>34</v>
      </c>
      <c r="Z45" s="5" t="s">
        <v>34</v>
      </c>
      <c r="AA45" s="19"/>
      <c r="AB45" s="5" t="s">
        <v>433</v>
      </c>
      <c r="AC45" s="5">
        <v>100</v>
      </c>
      <c r="AD45" s="5" t="s">
        <v>1414</v>
      </c>
      <c r="AE45" s="5" t="s">
        <v>34</v>
      </c>
      <c r="AF45" s="19"/>
      <c r="AG45" s="5" t="s">
        <v>433</v>
      </c>
      <c r="AH45" s="5">
        <v>102</v>
      </c>
      <c r="AI45" s="5" t="s">
        <v>1415</v>
      </c>
      <c r="AJ45" s="5" t="s">
        <v>34</v>
      </c>
      <c r="AK45" s="5" t="s">
        <v>1416</v>
      </c>
      <c r="AL45" s="5" t="s">
        <v>433</v>
      </c>
      <c r="AM45" s="5">
        <v>93</v>
      </c>
      <c r="AN45" s="5" t="s">
        <v>1417</v>
      </c>
      <c r="AO45" s="5" t="s">
        <v>34</v>
      </c>
      <c r="AP45" s="5" t="s">
        <v>1418</v>
      </c>
    </row>
    <row r="46" spans="1:42" ht="24" customHeight="1" x14ac:dyDescent="0.15">
      <c r="A46" s="5">
        <v>2479</v>
      </c>
      <c r="B46" s="5" t="s">
        <v>421</v>
      </c>
      <c r="C46" s="5" t="s">
        <v>440</v>
      </c>
      <c r="D46" s="5">
        <v>82</v>
      </c>
      <c r="E46" s="5" t="s">
        <v>34</v>
      </c>
      <c r="F46" s="5" t="s">
        <v>34</v>
      </c>
      <c r="G46" s="19"/>
      <c r="H46" s="5" t="s">
        <v>440</v>
      </c>
      <c r="I46" s="5">
        <v>82</v>
      </c>
      <c r="J46" s="5" t="s">
        <v>34</v>
      </c>
      <c r="K46" s="5" t="s">
        <v>34</v>
      </c>
      <c r="L46" s="19" t="s">
        <v>1419</v>
      </c>
      <c r="M46" s="5" t="s">
        <v>440</v>
      </c>
      <c r="N46" s="5">
        <v>82</v>
      </c>
      <c r="O46" s="5" t="s">
        <v>34</v>
      </c>
      <c r="P46" s="5" t="s">
        <v>34</v>
      </c>
      <c r="Q46" s="19" t="s">
        <v>1363</v>
      </c>
      <c r="R46" s="5" t="s">
        <v>440</v>
      </c>
      <c r="S46" s="5">
        <v>63</v>
      </c>
      <c r="T46" s="5" t="s">
        <v>1420</v>
      </c>
      <c r="U46" s="5"/>
      <c r="V46" s="19"/>
      <c r="W46" s="5" t="s">
        <v>440</v>
      </c>
      <c r="X46" s="5">
        <v>82</v>
      </c>
      <c r="Y46" s="5" t="s">
        <v>34</v>
      </c>
      <c r="Z46" s="5" t="s">
        <v>34</v>
      </c>
      <c r="AA46" s="19"/>
      <c r="AB46" s="5" t="s">
        <v>440</v>
      </c>
      <c r="AC46" s="5" t="s">
        <v>1421</v>
      </c>
      <c r="AD46" s="5" t="s">
        <v>1422</v>
      </c>
      <c r="AE46" s="5"/>
      <c r="AF46" s="19"/>
      <c r="AG46" s="5" t="s">
        <v>440</v>
      </c>
      <c r="AH46" s="5">
        <v>83</v>
      </c>
      <c r="AI46" s="5" t="s">
        <v>1423</v>
      </c>
      <c r="AJ46" s="5"/>
      <c r="AK46" s="19"/>
      <c r="AL46" s="5" t="s">
        <v>440</v>
      </c>
      <c r="AM46" s="5">
        <v>69</v>
      </c>
      <c r="AN46" s="5" t="s">
        <v>1424</v>
      </c>
      <c r="AO46" s="5"/>
      <c r="AP46" s="19"/>
    </row>
    <row r="47" spans="1:42" ht="24" customHeight="1" x14ac:dyDescent="0.15">
      <c r="A47" s="5">
        <v>2479</v>
      </c>
      <c r="B47" s="5" t="s">
        <v>421</v>
      </c>
      <c r="C47" s="5" t="s">
        <v>445</v>
      </c>
      <c r="D47" s="5">
        <v>22</v>
      </c>
      <c r="E47" s="5" t="s">
        <v>34</v>
      </c>
      <c r="F47" s="5" t="s">
        <v>34</v>
      </c>
      <c r="G47" s="19"/>
      <c r="H47" s="5" t="s">
        <v>445</v>
      </c>
      <c r="I47" s="5">
        <v>22</v>
      </c>
      <c r="J47" s="5" t="s">
        <v>34</v>
      </c>
      <c r="K47" s="5" t="s">
        <v>34</v>
      </c>
      <c r="L47" s="19"/>
      <c r="M47" s="5" t="s">
        <v>445</v>
      </c>
      <c r="N47" s="5">
        <v>22</v>
      </c>
      <c r="O47" s="5" t="s">
        <v>34</v>
      </c>
      <c r="P47" s="5" t="s">
        <v>34</v>
      </c>
      <c r="Q47" s="19" t="s">
        <v>1357</v>
      </c>
      <c r="R47" s="5" t="s">
        <v>445</v>
      </c>
      <c r="S47" s="5">
        <v>17</v>
      </c>
      <c r="T47" s="5" t="s">
        <v>1425</v>
      </c>
      <c r="U47" s="5"/>
      <c r="V47" s="5"/>
      <c r="W47" s="5" t="s">
        <v>445</v>
      </c>
      <c r="X47" s="5">
        <v>22</v>
      </c>
      <c r="Y47" s="5" t="s">
        <v>34</v>
      </c>
      <c r="Z47" s="5" t="s">
        <v>34</v>
      </c>
      <c r="AA47" s="19"/>
      <c r="AB47" s="5" t="s">
        <v>445</v>
      </c>
      <c r="AC47" s="5">
        <v>17</v>
      </c>
      <c r="AD47" s="5" t="s">
        <v>1426</v>
      </c>
      <c r="AE47" s="5"/>
      <c r="AF47" s="19"/>
      <c r="AG47" s="5" t="s">
        <v>445</v>
      </c>
      <c r="AH47" s="5">
        <v>14</v>
      </c>
      <c r="AI47" s="5" t="s">
        <v>1427</v>
      </c>
      <c r="AJ47" s="5"/>
      <c r="AK47" s="5"/>
      <c r="AL47" s="5" t="s">
        <v>445</v>
      </c>
      <c r="AM47" s="5">
        <v>13</v>
      </c>
      <c r="AN47" s="5" t="s">
        <v>1428</v>
      </c>
      <c r="AO47" s="5"/>
      <c r="AP47" s="19"/>
    </row>
    <row r="48" spans="1:42" ht="24" customHeight="1" x14ac:dyDescent="0.15">
      <c r="A48" s="5">
        <v>2479</v>
      </c>
      <c r="B48" s="5" t="s">
        <v>421</v>
      </c>
      <c r="C48" s="5" t="s">
        <v>449</v>
      </c>
      <c r="D48" s="5">
        <v>18</v>
      </c>
      <c r="E48" s="5" t="s">
        <v>34</v>
      </c>
      <c r="F48" s="5" t="s">
        <v>34</v>
      </c>
      <c r="G48" s="19"/>
      <c r="H48" s="5" t="s">
        <v>449</v>
      </c>
      <c r="I48" s="5">
        <v>18</v>
      </c>
      <c r="J48" s="5" t="s">
        <v>34</v>
      </c>
      <c r="K48" s="5" t="s">
        <v>34</v>
      </c>
      <c r="L48" s="19"/>
      <c r="M48" s="5" t="s">
        <v>449</v>
      </c>
      <c r="N48" s="5">
        <v>18</v>
      </c>
      <c r="O48" s="5" t="s">
        <v>34</v>
      </c>
      <c r="P48" s="5" t="s">
        <v>34</v>
      </c>
      <c r="Q48" s="19"/>
      <c r="R48" s="5" t="s">
        <v>449</v>
      </c>
      <c r="S48" s="5">
        <v>14</v>
      </c>
      <c r="T48" s="5" t="s">
        <v>1429</v>
      </c>
      <c r="U48" s="5"/>
      <c r="V48" s="19"/>
      <c r="W48" s="5" t="s">
        <v>449</v>
      </c>
      <c r="X48" s="5">
        <v>18</v>
      </c>
      <c r="Y48" s="5" t="s">
        <v>34</v>
      </c>
      <c r="Z48" s="5" t="s">
        <v>34</v>
      </c>
      <c r="AA48" s="19"/>
      <c r="AB48" s="5" t="s">
        <v>449</v>
      </c>
      <c r="AC48" s="5">
        <v>6</v>
      </c>
      <c r="AD48" s="5" t="s">
        <v>1430</v>
      </c>
      <c r="AE48" s="5"/>
      <c r="AF48" s="19"/>
      <c r="AG48" s="5" t="s">
        <v>449</v>
      </c>
      <c r="AH48" s="5">
        <v>14</v>
      </c>
      <c r="AI48" s="5" t="s">
        <v>1431</v>
      </c>
      <c r="AJ48" s="5"/>
      <c r="AK48" s="19"/>
      <c r="AL48" s="5" t="s">
        <v>449</v>
      </c>
      <c r="AM48" s="5">
        <v>10</v>
      </c>
      <c r="AN48" s="5" t="s">
        <v>1432</v>
      </c>
      <c r="AO48" s="5"/>
      <c r="AP48" s="19"/>
    </row>
    <row r="49" spans="1:42" ht="24" customHeight="1" x14ac:dyDescent="0.15">
      <c r="A49" s="5">
        <v>3083</v>
      </c>
      <c r="B49" s="5" t="s">
        <v>482</v>
      </c>
      <c r="C49" s="5" t="s">
        <v>433</v>
      </c>
      <c r="D49" s="5">
        <v>87</v>
      </c>
      <c r="E49" s="5" t="s">
        <v>34</v>
      </c>
      <c r="F49" s="5" t="s">
        <v>34</v>
      </c>
      <c r="G49" s="19"/>
      <c r="H49" s="5" t="s">
        <v>433</v>
      </c>
      <c r="I49" s="5">
        <v>87</v>
      </c>
      <c r="J49" s="5" t="s">
        <v>34</v>
      </c>
      <c r="K49" s="5" t="s">
        <v>34</v>
      </c>
      <c r="L49" s="19"/>
      <c r="M49" s="5" t="s">
        <v>433</v>
      </c>
      <c r="N49" s="5">
        <v>87</v>
      </c>
      <c r="O49" s="5" t="s">
        <v>34</v>
      </c>
      <c r="P49" s="5" t="s">
        <v>34</v>
      </c>
      <c r="Q49" s="19" t="s">
        <v>1363</v>
      </c>
      <c r="R49" s="5" t="s">
        <v>433</v>
      </c>
      <c r="S49" s="5">
        <v>87</v>
      </c>
      <c r="T49" s="5" t="s">
        <v>34</v>
      </c>
      <c r="U49" s="5" t="s">
        <v>34</v>
      </c>
      <c r="V49" s="19"/>
      <c r="W49" s="5" t="s">
        <v>433</v>
      </c>
      <c r="X49" s="5">
        <v>64</v>
      </c>
      <c r="Y49" s="5" t="s">
        <v>1433</v>
      </c>
      <c r="Z49" s="5" t="s">
        <v>34</v>
      </c>
      <c r="AA49" s="5" t="s">
        <v>1434</v>
      </c>
      <c r="AB49" s="5" t="s">
        <v>433</v>
      </c>
      <c r="AC49" s="5">
        <v>87</v>
      </c>
      <c r="AD49" s="5" t="s">
        <v>34</v>
      </c>
      <c r="AE49" s="5" t="s">
        <v>34</v>
      </c>
      <c r="AF49" s="19"/>
      <c r="AG49" s="5" t="s">
        <v>433</v>
      </c>
      <c r="AH49" s="5">
        <v>87</v>
      </c>
      <c r="AI49" s="5" t="s">
        <v>34</v>
      </c>
      <c r="AJ49" s="5" t="s">
        <v>34</v>
      </c>
      <c r="AK49" s="19"/>
      <c r="AL49" s="5" t="s">
        <v>433</v>
      </c>
      <c r="AM49" s="5">
        <v>87</v>
      </c>
      <c r="AN49" s="5" t="s">
        <v>34</v>
      </c>
      <c r="AO49" s="5" t="s">
        <v>34</v>
      </c>
      <c r="AP49" s="19"/>
    </row>
    <row r="50" spans="1:42" ht="24" customHeight="1" x14ac:dyDescent="0.15">
      <c r="A50" s="5">
        <v>3083</v>
      </c>
      <c r="B50" s="5" t="s">
        <v>482</v>
      </c>
      <c r="C50" s="5" t="s">
        <v>440</v>
      </c>
      <c r="D50" s="5">
        <v>63</v>
      </c>
      <c r="E50" s="5" t="s">
        <v>34</v>
      </c>
      <c r="F50" s="5" t="s">
        <v>34</v>
      </c>
      <c r="G50" s="19"/>
      <c r="H50" s="5" t="s">
        <v>440</v>
      </c>
      <c r="I50" s="5">
        <v>63</v>
      </c>
      <c r="J50" s="5" t="s">
        <v>34</v>
      </c>
      <c r="K50" s="5" t="s">
        <v>34</v>
      </c>
      <c r="L50" s="19"/>
      <c r="M50" s="5" t="s">
        <v>440</v>
      </c>
      <c r="N50" s="5">
        <v>63</v>
      </c>
      <c r="O50" s="5" t="s">
        <v>34</v>
      </c>
      <c r="P50" s="5" t="s">
        <v>34</v>
      </c>
      <c r="Q50" s="19"/>
      <c r="R50" s="5" t="s">
        <v>440</v>
      </c>
      <c r="S50" s="5">
        <v>63</v>
      </c>
      <c r="T50" s="5" t="s">
        <v>34</v>
      </c>
      <c r="U50" s="5" t="s">
        <v>34</v>
      </c>
      <c r="V50" s="19"/>
      <c r="W50" s="5" t="s">
        <v>440</v>
      </c>
      <c r="X50" s="19">
        <v>28</v>
      </c>
      <c r="Y50" s="5" t="s">
        <v>1435</v>
      </c>
      <c r="Z50" s="19"/>
      <c r="AA50" s="19"/>
      <c r="AB50" s="5" t="s">
        <v>440</v>
      </c>
      <c r="AC50" s="5">
        <v>63</v>
      </c>
      <c r="AD50" s="5" t="s">
        <v>34</v>
      </c>
      <c r="AE50" s="5" t="s">
        <v>34</v>
      </c>
      <c r="AF50" s="19"/>
      <c r="AG50" s="5" t="s">
        <v>440</v>
      </c>
      <c r="AH50" s="5">
        <v>63</v>
      </c>
      <c r="AI50" s="5" t="s">
        <v>34</v>
      </c>
      <c r="AJ50" s="5" t="s">
        <v>34</v>
      </c>
      <c r="AK50" s="19"/>
      <c r="AL50" s="5" t="s">
        <v>440</v>
      </c>
      <c r="AM50" s="5">
        <v>63</v>
      </c>
      <c r="AN50" s="5" t="s">
        <v>34</v>
      </c>
      <c r="AO50" s="5" t="s">
        <v>34</v>
      </c>
      <c r="AP50" s="19"/>
    </row>
    <row r="51" spans="1:42" ht="24" customHeight="1" x14ac:dyDescent="0.15">
      <c r="A51" s="5">
        <v>3083</v>
      </c>
      <c r="B51" s="5" t="s">
        <v>482</v>
      </c>
      <c r="C51" s="5" t="s">
        <v>445</v>
      </c>
      <c r="D51" s="5">
        <v>15</v>
      </c>
      <c r="E51" s="5" t="s">
        <v>34</v>
      </c>
      <c r="F51" s="5" t="s">
        <v>34</v>
      </c>
      <c r="G51" s="19"/>
      <c r="H51" s="5" t="s">
        <v>445</v>
      </c>
      <c r="I51" s="5">
        <v>15</v>
      </c>
      <c r="J51" s="5" t="s">
        <v>34</v>
      </c>
      <c r="K51" s="5" t="s">
        <v>34</v>
      </c>
      <c r="L51" s="19"/>
      <c r="M51" s="5" t="s">
        <v>445</v>
      </c>
      <c r="N51" s="5">
        <v>15</v>
      </c>
      <c r="O51" s="5" t="s">
        <v>34</v>
      </c>
      <c r="P51" s="5" t="s">
        <v>34</v>
      </c>
      <c r="Q51" s="19"/>
      <c r="R51" s="5" t="s">
        <v>445</v>
      </c>
      <c r="S51" s="5">
        <v>15</v>
      </c>
      <c r="T51" s="5" t="s">
        <v>34</v>
      </c>
      <c r="U51" s="5" t="s">
        <v>34</v>
      </c>
      <c r="V51" s="19"/>
      <c r="W51" s="5" t="s">
        <v>445</v>
      </c>
      <c r="X51" s="19">
        <v>5</v>
      </c>
      <c r="Y51" s="5" t="s">
        <v>1436</v>
      </c>
      <c r="Z51" s="19"/>
      <c r="AA51" s="19"/>
      <c r="AB51" s="5" t="s">
        <v>445</v>
      </c>
      <c r="AC51" s="5">
        <v>15</v>
      </c>
      <c r="AD51" s="5" t="s">
        <v>34</v>
      </c>
      <c r="AE51" s="5" t="s">
        <v>34</v>
      </c>
      <c r="AF51" s="19"/>
      <c r="AG51" s="5" t="s">
        <v>445</v>
      </c>
      <c r="AH51" s="5">
        <v>15</v>
      </c>
      <c r="AI51" s="5" t="s">
        <v>34</v>
      </c>
      <c r="AJ51" s="5" t="s">
        <v>34</v>
      </c>
      <c r="AK51" s="19"/>
      <c r="AL51" s="5" t="s">
        <v>445</v>
      </c>
      <c r="AM51" s="5">
        <v>15</v>
      </c>
      <c r="AN51" s="5" t="s">
        <v>34</v>
      </c>
      <c r="AO51" s="5" t="s">
        <v>34</v>
      </c>
      <c r="AP51" s="19"/>
    </row>
    <row r="52" spans="1:42" ht="24" customHeight="1" x14ac:dyDescent="0.15">
      <c r="A52" s="5">
        <v>3083</v>
      </c>
      <c r="B52" s="5" t="s">
        <v>482</v>
      </c>
      <c r="C52" s="5" t="s">
        <v>449</v>
      </c>
      <c r="D52" s="5">
        <v>12</v>
      </c>
      <c r="E52" s="19" t="s">
        <v>34</v>
      </c>
      <c r="F52" s="19" t="s">
        <v>34</v>
      </c>
      <c r="G52" s="19"/>
      <c r="H52" s="5" t="s">
        <v>449</v>
      </c>
      <c r="I52" s="5">
        <v>12</v>
      </c>
      <c r="J52" s="5" t="s">
        <v>34</v>
      </c>
      <c r="K52" s="5" t="s">
        <v>34</v>
      </c>
      <c r="L52" s="19"/>
      <c r="M52" s="5" t="s">
        <v>449</v>
      </c>
      <c r="N52" s="5">
        <v>12</v>
      </c>
      <c r="O52" s="5" t="s">
        <v>34</v>
      </c>
      <c r="P52" s="5" t="s">
        <v>34</v>
      </c>
      <c r="Q52" s="19"/>
      <c r="R52" s="5" t="s">
        <v>449</v>
      </c>
      <c r="S52" s="5">
        <v>12</v>
      </c>
      <c r="T52" s="5" t="s">
        <v>34</v>
      </c>
      <c r="U52" s="5" t="s">
        <v>34</v>
      </c>
      <c r="V52" s="19"/>
      <c r="W52" s="5" t="s">
        <v>449</v>
      </c>
      <c r="X52" s="19">
        <v>7</v>
      </c>
      <c r="Y52" s="5" t="s">
        <v>1437</v>
      </c>
      <c r="Z52" s="19"/>
      <c r="AA52" s="19"/>
      <c r="AB52" s="5" t="s">
        <v>449</v>
      </c>
      <c r="AC52" s="5">
        <v>12</v>
      </c>
      <c r="AD52" s="5" t="s">
        <v>34</v>
      </c>
      <c r="AE52" s="5" t="s">
        <v>34</v>
      </c>
      <c r="AF52" s="19"/>
      <c r="AG52" s="5" t="s">
        <v>449</v>
      </c>
      <c r="AH52" s="5">
        <v>12</v>
      </c>
      <c r="AI52" s="5" t="s">
        <v>34</v>
      </c>
      <c r="AJ52" s="5" t="s">
        <v>34</v>
      </c>
      <c r="AK52" s="19"/>
      <c r="AL52" s="5" t="s">
        <v>449</v>
      </c>
      <c r="AM52" s="5">
        <v>12</v>
      </c>
      <c r="AN52" s="5" t="s">
        <v>34</v>
      </c>
      <c r="AO52" s="5" t="s">
        <v>34</v>
      </c>
      <c r="AP52" s="19"/>
    </row>
    <row r="53" spans="1:42" ht="24" customHeight="1" x14ac:dyDescent="0.15">
      <c r="A53" s="5">
        <v>3777</v>
      </c>
      <c r="B53" s="21" t="s">
        <v>471</v>
      </c>
      <c r="C53" s="5" t="s">
        <v>1438</v>
      </c>
      <c r="D53" s="19">
        <v>196</v>
      </c>
      <c r="E53" s="19">
        <v>55</v>
      </c>
      <c r="F53" s="19" t="s">
        <v>1439</v>
      </c>
      <c r="G53" s="5" t="s">
        <v>1440</v>
      </c>
      <c r="H53" s="5" t="s">
        <v>1438</v>
      </c>
      <c r="I53" s="19">
        <v>196</v>
      </c>
      <c r="J53" s="19" t="s">
        <v>34</v>
      </c>
      <c r="K53" s="19" t="s">
        <v>34</v>
      </c>
      <c r="L53" s="19"/>
      <c r="M53" s="5" t="s">
        <v>1438</v>
      </c>
      <c r="N53" s="19">
        <v>196</v>
      </c>
      <c r="O53" s="19" t="s">
        <v>34</v>
      </c>
      <c r="P53" s="19" t="s">
        <v>34</v>
      </c>
      <c r="Q53" s="19"/>
      <c r="R53" s="5" t="s">
        <v>1438</v>
      </c>
      <c r="S53" s="19">
        <v>196</v>
      </c>
      <c r="T53" s="19" t="s">
        <v>34</v>
      </c>
      <c r="U53" s="19" t="s">
        <v>34</v>
      </c>
      <c r="V53" s="19"/>
      <c r="W53" s="5" t="s">
        <v>1438</v>
      </c>
      <c r="X53" s="19">
        <v>196</v>
      </c>
      <c r="Y53" s="19" t="s">
        <v>34</v>
      </c>
      <c r="Z53" s="19" t="s">
        <v>34</v>
      </c>
      <c r="AA53" s="19"/>
      <c r="AB53" s="5" t="s">
        <v>1438</v>
      </c>
      <c r="AC53" s="19">
        <v>196</v>
      </c>
      <c r="AD53" s="19" t="s">
        <v>34</v>
      </c>
      <c r="AE53" s="19" t="s">
        <v>34</v>
      </c>
      <c r="AF53" s="19"/>
      <c r="AG53" s="5" t="s">
        <v>1438</v>
      </c>
      <c r="AH53" s="19">
        <v>196</v>
      </c>
      <c r="AI53" s="19" t="s">
        <v>34</v>
      </c>
      <c r="AJ53" s="19" t="s">
        <v>34</v>
      </c>
      <c r="AK53" s="19"/>
      <c r="AL53" s="5" t="s">
        <v>1438</v>
      </c>
      <c r="AM53" s="19">
        <v>196</v>
      </c>
      <c r="AN53" s="19" t="s">
        <v>34</v>
      </c>
      <c r="AO53" s="19" t="s">
        <v>34</v>
      </c>
      <c r="AP53" s="19"/>
    </row>
    <row r="54" spans="1:42" ht="24" customHeight="1" x14ac:dyDescent="0.15">
      <c r="A54" s="5">
        <v>3777</v>
      </c>
      <c r="B54" s="21" t="s">
        <v>471</v>
      </c>
      <c r="C54" s="5" t="s">
        <v>1441</v>
      </c>
      <c r="D54" s="19">
        <v>175</v>
      </c>
      <c r="E54" s="19">
        <v>33</v>
      </c>
      <c r="F54" s="19"/>
      <c r="G54" s="19" t="s">
        <v>1442</v>
      </c>
      <c r="H54" s="5" t="s">
        <v>1441</v>
      </c>
      <c r="I54" s="19">
        <v>175</v>
      </c>
      <c r="J54" s="19" t="s">
        <v>34</v>
      </c>
      <c r="K54" s="19" t="s">
        <v>34</v>
      </c>
      <c r="L54" s="19"/>
      <c r="M54" s="5" t="s">
        <v>1441</v>
      </c>
      <c r="N54" s="19">
        <v>175</v>
      </c>
      <c r="O54" s="19" t="s">
        <v>34</v>
      </c>
      <c r="P54" s="19" t="s">
        <v>34</v>
      </c>
      <c r="Q54" s="19"/>
      <c r="R54" s="5" t="s">
        <v>1441</v>
      </c>
      <c r="S54" s="19">
        <v>175</v>
      </c>
      <c r="T54" s="19" t="s">
        <v>34</v>
      </c>
      <c r="U54" s="19" t="s">
        <v>34</v>
      </c>
      <c r="V54" s="19"/>
      <c r="W54" s="5" t="s">
        <v>1441</v>
      </c>
      <c r="X54" s="19">
        <v>175</v>
      </c>
      <c r="Y54" s="19" t="s">
        <v>34</v>
      </c>
      <c r="Z54" s="19" t="s">
        <v>34</v>
      </c>
      <c r="AA54" s="19"/>
      <c r="AB54" s="5" t="s">
        <v>1441</v>
      </c>
      <c r="AC54" s="19">
        <v>175</v>
      </c>
      <c r="AD54" s="19" t="s">
        <v>34</v>
      </c>
      <c r="AE54" s="19" t="s">
        <v>34</v>
      </c>
      <c r="AF54" s="19"/>
      <c r="AG54" s="5" t="s">
        <v>1441</v>
      </c>
      <c r="AH54" s="19">
        <v>175</v>
      </c>
      <c r="AI54" s="19" t="s">
        <v>34</v>
      </c>
      <c r="AJ54" s="19" t="s">
        <v>34</v>
      </c>
      <c r="AK54" s="19"/>
      <c r="AL54" s="5" t="s">
        <v>1441</v>
      </c>
      <c r="AM54" s="19">
        <v>175</v>
      </c>
      <c r="AN54" s="19" t="s">
        <v>34</v>
      </c>
      <c r="AO54" s="19" t="s">
        <v>34</v>
      </c>
      <c r="AP54" s="19"/>
    </row>
    <row r="55" spans="1:42" ht="24" customHeight="1" x14ac:dyDescent="0.15">
      <c r="A55" s="5">
        <v>3777</v>
      </c>
      <c r="B55" s="21" t="s">
        <v>471</v>
      </c>
      <c r="C55" s="5" t="s">
        <v>46</v>
      </c>
      <c r="D55" s="19">
        <v>494</v>
      </c>
      <c r="E55" s="19">
        <v>142</v>
      </c>
      <c r="F55" s="19"/>
      <c r="G55" s="5" t="s">
        <v>1443</v>
      </c>
      <c r="H55" s="5" t="s">
        <v>46</v>
      </c>
      <c r="I55" s="19">
        <v>494</v>
      </c>
      <c r="J55" s="19" t="s">
        <v>34</v>
      </c>
      <c r="K55" s="19" t="s">
        <v>34</v>
      </c>
      <c r="L55" s="19"/>
      <c r="M55" s="5" t="s">
        <v>46</v>
      </c>
      <c r="N55" s="19">
        <v>494</v>
      </c>
      <c r="O55" s="19" t="s">
        <v>34</v>
      </c>
      <c r="P55" s="19" t="s">
        <v>34</v>
      </c>
      <c r="Q55" s="19"/>
      <c r="R55" s="5" t="s">
        <v>46</v>
      </c>
      <c r="S55" s="19">
        <v>494</v>
      </c>
      <c r="T55" s="19" t="s">
        <v>34</v>
      </c>
      <c r="U55" s="19" t="s">
        <v>34</v>
      </c>
      <c r="V55" s="19"/>
      <c r="W55" s="5" t="s">
        <v>46</v>
      </c>
      <c r="X55" s="19">
        <v>494</v>
      </c>
      <c r="Y55" s="19" t="s">
        <v>34</v>
      </c>
      <c r="Z55" s="19" t="s">
        <v>34</v>
      </c>
      <c r="AA55" s="19"/>
      <c r="AB55" s="5" t="s">
        <v>46</v>
      </c>
      <c r="AC55" s="19">
        <v>494</v>
      </c>
      <c r="AD55" s="19" t="s">
        <v>34</v>
      </c>
      <c r="AE55" s="19" t="s">
        <v>34</v>
      </c>
      <c r="AF55" s="19"/>
      <c r="AG55" s="5" t="s">
        <v>46</v>
      </c>
      <c r="AH55" s="19">
        <v>494</v>
      </c>
      <c r="AI55" s="19" t="s">
        <v>34</v>
      </c>
      <c r="AJ55" s="19" t="s">
        <v>34</v>
      </c>
      <c r="AK55" s="19"/>
      <c r="AL55" s="5" t="s">
        <v>46</v>
      </c>
      <c r="AM55" s="19">
        <v>494</v>
      </c>
      <c r="AN55" s="19" t="s">
        <v>34</v>
      </c>
      <c r="AO55" s="19" t="s">
        <v>34</v>
      </c>
      <c r="AP55" s="19"/>
    </row>
    <row r="56" spans="1:42" ht="24" customHeight="1" x14ac:dyDescent="0.15">
      <c r="A56" s="5">
        <v>4126</v>
      </c>
      <c r="B56" s="5" t="s">
        <v>539</v>
      </c>
      <c r="C56" s="5" t="s">
        <v>33</v>
      </c>
      <c r="D56" s="5">
        <v>243</v>
      </c>
      <c r="E56" s="5" t="s">
        <v>34</v>
      </c>
      <c r="F56" s="5" t="s">
        <v>34</v>
      </c>
      <c r="G56" s="19"/>
      <c r="H56" s="5" t="s">
        <v>33</v>
      </c>
      <c r="I56" s="5">
        <v>243</v>
      </c>
      <c r="J56" s="5" t="s">
        <v>34</v>
      </c>
      <c r="K56" s="5" t="s">
        <v>34</v>
      </c>
      <c r="L56" s="19"/>
      <c r="M56" s="5" t="s">
        <v>33</v>
      </c>
      <c r="N56" s="5">
        <v>243</v>
      </c>
      <c r="O56" s="5" t="s">
        <v>34</v>
      </c>
      <c r="P56" s="5" t="s">
        <v>34</v>
      </c>
      <c r="Q56" s="19"/>
      <c r="R56" s="5" t="s">
        <v>33</v>
      </c>
      <c r="S56" s="5">
        <v>243</v>
      </c>
      <c r="T56" s="5" t="s">
        <v>1444</v>
      </c>
      <c r="U56" s="5" t="s">
        <v>34</v>
      </c>
      <c r="V56" s="19" t="s">
        <v>1445</v>
      </c>
      <c r="W56" s="5" t="s">
        <v>33</v>
      </c>
      <c r="X56" s="5">
        <v>243</v>
      </c>
      <c r="Y56" s="5" t="s">
        <v>34</v>
      </c>
      <c r="Z56" s="5" t="s">
        <v>34</v>
      </c>
      <c r="AA56" s="19"/>
      <c r="AB56" s="5" t="s">
        <v>33</v>
      </c>
      <c r="AC56" s="5">
        <v>243</v>
      </c>
      <c r="AD56" s="5" t="s">
        <v>1446</v>
      </c>
      <c r="AE56" s="5" t="s">
        <v>34</v>
      </c>
      <c r="AF56" s="19" t="s">
        <v>1447</v>
      </c>
      <c r="AG56" s="5" t="s">
        <v>33</v>
      </c>
      <c r="AH56" s="5">
        <v>243</v>
      </c>
      <c r="AI56" s="5" t="s">
        <v>34</v>
      </c>
      <c r="AJ56" s="5" t="s">
        <v>34</v>
      </c>
      <c r="AK56" s="19"/>
      <c r="AL56" s="5" t="s">
        <v>33</v>
      </c>
      <c r="AM56" s="5">
        <v>243</v>
      </c>
      <c r="AN56" s="5" t="s">
        <v>34</v>
      </c>
      <c r="AO56" s="5" t="s">
        <v>34</v>
      </c>
      <c r="AP56" s="19"/>
    </row>
    <row r="57" spans="1:42" ht="24" customHeight="1" x14ac:dyDescent="0.15">
      <c r="A57" s="5">
        <v>4126</v>
      </c>
      <c r="B57" s="5" t="s">
        <v>539</v>
      </c>
      <c r="C57" s="5" t="s">
        <v>46</v>
      </c>
      <c r="D57" s="5">
        <v>75</v>
      </c>
      <c r="E57" s="5" t="s">
        <v>34</v>
      </c>
      <c r="F57" s="5" t="s">
        <v>34</v>
      </c>
      <c r="G57" s="19"/>
      <c r="H57" s="5" t="s">
        <v>46</v>
      </c>
      <c r="I57" s="5">
        <v>75</v>
      </c>
      <c r="J57" s="5" t="s">
        <v>34</v>
      </c>
      <c r="K57" s="5" t="s">
        <v>34</v>
      </c>
      <c r="L57" s="19"/>
      <c r="M57" s="5" t="s">
        <v>46</v>
      </c>
      <c r="N57" s="5">
        <v>75</v>
      </c>
      <c r="O57" s="5" t="s">
        <v>34</v>
      </c>
      <c r="P57" s="5" t="s">
        <v>34</v>
      </c>
      <c r="Q57" s="19"/>
      <c r="R57" s="5" t="s">
        <v>46</v>
      </c>
      <c r="S57" s="5">
        <v>75</v>
      </c>
      <c r="T57" s="5" t="s">
        <v>1448</v>
      </c>
      <c r="U57" s="19"/>
      <c r="V57" s="19"/>
      <c r="W57" s="5" t="s">
        <v>46</v>
      </c>
      <c r="X57" s="5">
        <v>75</v>
      </c>
      <c r="Y57" s="5" t="s">
        <v>34</v>
      </c>
      <c r="Z57" s="5" t="s">
        <v>34</v>
      </c>
      <c r="AA57" s="19"/>
      <c r="AB57" s="5" t="s">
        <v>46</v>
      </c>
      <c r="AC57" s="5">
        <v>75</v>
      </c>
      <c r="AD57" s="5" t="s">
        <v>1449</v>
      </c>
      <c r="AE57" s="19"/>
      <c r="AF57" s="19"/>
      <c r="AG57" s="5" t="s">
        <v>46</v>
      </c>
      <c r="AH57" s="5">
        <v>75</v>
      </c>
      <c r="AI57" s="5" t="s">
        <v>34</v>
      </c>
      <c r="AJ57" s="5" t="s">
        <v>34</v>
      </c>
      <c r="AK57" s="19"/>
      <c r="AL57" s="5" t="s">
        <v>46</v>
      </c>
      <c r="AM57" s="5">
        <v>75</v>
      </c>
      <c r="AN57" s="5" t="s">
        <v>34</v>
      </c>
      <c r="AO57" s="5" t="s">
        <v>34</v>
      </c>
      <c r="AP57" s="19"/>
    </row>
    <row r="58" spans="1:42" ht="24" customHeight="1" x14ac:dyDescent="0.15">
      <c r="A58" s="5">
        <v>2045</v>
      </c>
      <c r="B58" s="5" t="s">
        <v>581</v>
      </c>
      <c r="C58" s="5" t="s">
        <v>593</v>
      </c>
      <c r="D58" s="5">
        <v>50816</v>
      </c>
      <c r="E58" s="19" t="s">
        <v>34</v>
      </c>
      <c r="F58" s="19"/>
      <c r="G58" s="5" t="s">
        <v>593</v>
      </c>
      <c r="H58" s="5" t="s">
        <v>593</v>
      </c>
      <c r="I58" s="5">
        <f t="shared" ref="I58:I61" si="12">D58</f>
        <v>50816</v>
      </c>
      <c r="J58" s="5" t="s">
        <v>34</v>
      </c>
      <c r="K58" s="5" t="s">
        <v>34</v>
      </c>
      <c r="L58" s="5" t="str">
        <f t="shared" ref="L58:L59" si="13">G58</f>
        <v>Tdap - Pregnancy</v>
      </c>
      <c r="M58" s="5" t="s">
        <v>593</v>
      </c>
      <c r="N58" s="5">
        <f t="shared" ref="N58:N61" si="14">I58</f>
        <v>50816</v>
      </c>
      <c r="O58" s="5" t="s">
        <v>34</v>
      </c>
      <c r="P58" s="5" t="s">
        <v>34</v>
      </c>
      <c r="Q58" s="5" t="str">
        <f t="shared" ref="Q58:Q59" si="15">L58</f>
        <v>Tdap - Pregnancy</v>
      </c>
      <c r="R58" s="5" t="s">
        <v>593</v>
      </c>
      <c r="S58" s="5">
        <f t="shared" ref="S58:S61" si="16">N58</f>
        <v>50816</v>
      </c>
      <c r="T58" s="5" t="s">
        <v>34</v>
      </c>
      <c r="U58" s="5" t="s">
        <v>34</v>
      </c>
      <c r="V58" s="5" t="str">
        <f t="shared" ref="V58:V61" si="17">Q58</f>
        <v>Tdap - Pregnancy</v>
      </c>
      <c r="W58" s="5" t="s">
        <v>593</v>
      </c>
      <c r="X58" s="5">
        <f t="shared" ref="X58:X61" si="18">S58</f>
        <v>50816</v>
      </c>
      <c r="Y58" s="5" t="s">
        <v>34</v>
      </c>
      <c r="Z58" s="5" t="s">
        <v>34</v>
      </c>
      <c r="AA58" s="5" t="str">
        <f t="shared" ref="AA58:AA61" si="19">V58</f>
        <v>Tdap - Pregnancy</v>
      </c>
      <c r="AB58" s="5" t="s">
        <v>593</v>
      </c>
      <c r="AC58" s="5">
        <f t="shared" ref="AC58:AC61" si="20">X58</f>
        <v>50816</v>
      </c>
      <c r="AD58" s="5" t="s">
        <v>34</v>
      </c>
      <c r="AE58" s="5" t="s">
        <v>34</v>
      </c>
      <c r="AF58" s="5" t="str">
        <f t="shared" ref="AF58:AF61" si="21">AA58</f>
        <v>Tdap - Pregnancy</v>
      </c>
      <c r="AG58" s="5" t="s">
        <v>593</v>
      </c>
      <c r="AH58" s="5">
        <f t="shared" ref="AH58:AH61" si="22">AC58</f>
        <v>50816</v>
      </c>
      <c r="AI58" s="5" t="s">
        <v>34</v>
      </c>
      <c r="AJ58" s="5" t="s">
        <v>34</v>
      </c>
      <c r="AK58" s="5" t="str">
        <f t="shared" ref="AK58:AK61" si="23">AF58</f>
        <v>Tdap - Pregnancy</v>
      </c>
      <c r="AL58" s="5" t="s">
        <v>593</v>
      </c>
      <c r="AM58" s="5">
        <f t="shared" ref="AM58:AM61" si="24">AH58</f>
        <v>50816</v>
      </c>
      <c r="AN58" s="5" t="s">
        <v>34</v>
      </c>
      <c r="AO58" s="5" t="s">
        <v>34</v>
      </c>
      <c r="AP58" s="5" t="str">
        <f t="shared" ref="AP58:AP61" si="25">AK58</f>
        <v>Tdap - Pregnancy</v>
      </c>
    </row>
    <row r="59" spans="1:42" ht="24" customHeight="1" x14ac:dyDescent="0.15">
      <c r="A59" s="5">
        <v>2045</v>
      </c>
      <c r="B59" s="5" t="s">
        <v>581</v>
      </c>
      <c r="C59" s="5" t="s">
        <v>603</v>
      </c>
      <c r="D59" s="5">
        <v>50886</v>
      </c>
      <c r="E59" s="19" t="s">
        <v>34</v>
      </c>
      <c r="F59" s="19"/>
      <c r="G59" s="5" t="s">
        <v>1450</v>
      </c>
      <c r="H59" s="5" t="s">
        <v>603</v>
      </c>
      <c r="I59" s="5">
        <f t="shared" si="12"/>
        <v>50886</v>
      </c>
      <c r="J59" s="5" t="s">
        <v>34</v>
      </c>
      <c r="K59" s="5" t="s">
        <v>34</v>
      </c>
      <c r="L59" s="5" t="str">
        <f t="shared" si="13"/>
        <v>No Tdap - Pregnancy</v>
      </c>
      <c r="M59" s="5" t="s">
        <v>603</v>
      </c>
      <c r="N59" s="5">
        <f t="shared" si="14"/>
        <v>50886</v>
      </c>
      <c r="O59" s="5" t="s">
        <v>34</v>
      </c>
      <c r="P59" s="5" t="s">
        <v>34</v>
      </c>
      <c r="Q59" s="5" t="str">
        <f t="shared" si="15"/>
        <v>No Tdap - Pregnancy</v>
      </c>
      <c r="R59" s="5" t="s">
        <v>603</v>
      </c>
      <c r="S59" s="5">
        <f t="shared" si="16"/>
        <v>50886</v>
      </c>
      <c r="T59" s="5" t="s">
        <v>34</v>
      </c>
      <c r="U59" s="5" t="s">
        <v>34</v>
      </c>
      <c r="V59" s="5" t="str">
        <f t="shared" si="17"/>
        <v>No Tdap - Pregnancy</v>
      </c>
      <c r="W59" s="5" t="s">
        <v>603</v>
      </c>
      <c r="X59" s="5">
        <f t="shared" si="18"/>
        <v>50886</v>
      </c>
      <c r="Y59" s="5" t="s">
        <v>34</v>
      </c>
      <c r="Z59" s="5" t="s">
        <v>34</v>
      </c>
      <c r="AA59" s="5" t="str">
        <f t="shared" si="19"/>
        <v>No Tdap - Pregnancy</v>
      </c>
      <c r="AB59" s="5" t="s">
        <v>603</v>
      </c>
      <c r="AC59" s="5">
        <f t="shared" si="20"/>
        <v>50886</v>
      </c>
      <c r="AD59" s="5" t="s">
        <v>34</v>
      </c>
      <c r="AE59" s="5" t="s">
        <v>34</v>
      </c>
      <c r="AF59" s="5" t="str">
        <f t="shared" si="21"/>
        <v>No Tdap - Pregnancy</v>
      </c>
      <c r="AG59" s="5" t="s">
        <v>603</v>
      </c>
      <c r="AH59" s="5">
        <f t="shared" si="22"/>
        <v>50886</v>
      </c>
      <c r="AI59" s="5" t="s">
        <v>34</v>
      </c>
      <c r="AJ59" s="5" t="s">
        <v>34</v>
      </c>
      <c r="AK59" s="5" t="str">
        <f t="shared" si="23"/>
        <v>No Tdap - Pregnancy</v>
      </c>
      <c r="AL59" s="5" t="s">
        <v>603</v>
      </c>
      <c r="AM59" s="5">
        <f t="shared" si="24"/>
        <v>50886</v>
      </c>
      <c r="AN59" s="5" t="s">
        <v>34</v>
      </c>
      <c r="AO59" s="5" t="s">
        <v>34</v>
      </c>
      <c r="AP59" s="5" t="str">
        <f t="shared" si="25"/>
        <v>No Tdap - Pregnancy</v>
      </c>
    </row>
    <row r="60" spans="1:42" ht="24" customHeight="1" x14ac:dyDescent="0.15">
      <c r="A60" s="5">
        <v>2045</v>
      </c>
      <c r="B60" s="5" t="s">
        <v>581</v>
      </c>
      <c r="C60" s="5" t="s">
        <v>609</v>
      </c>
      <c r="D60" s="5">
        <v>108350</v>
      </c>
      <c r="E60" s="5">
        <v>9</v>
      </c>
      <c r="F60" s="5" t="s">
        <v>1451</v>
      </c>
      <c r="G60" s="5" t="s">
        <v>1452</v>
      </c>
      <c r="H60" s="5" t="s">
        <v>609</v>
      </c>
      <c r="I60" s="5">
        <f t="shared" si="12"/>
        <v>108350</v>
      </c>
      <c r="J60" s="5">
        <v>8</v>
      </c>
      <c r="K60" s="5" t="s">
        <v>1453</v>
      </c>
      <c r="L60" s="5" t="s">
        <v>1454</v>
      </c>
      <c r="M60" s="5" t="s">
        <v>609</v>
      </c>
      <c r="N60" s="5">
        <f t="shared" si="14"/>
        <v>108350</v>
      </c>
      <c r="O60" s="5" t="s">
        <v>34</v>
      </c>
      <c r="P60" s="5" t="s">
        <v>34</v>
      </c>
      <c r="Q60" s="5" t="s">
        <v>609</v>
      </c>
      <c r="R60" s="5" t="s">
        <v>609</v>
      </c>
      <c r="S60" s="5">
        <f t="shared" si="16"/>
        <v>108350</v>
      </c>
      <c r="T60" s="5" t="s">
        <v>34</v>
      </c>
      <c r="U60" s="5" t="s">
        <v>34</v>
      </c>
      <c r="V60" s="5" t="str">
        <f t="shared" si="17"/>
        <v>Tdap - prenatal</v>
      </c>
      <c r="W60" s="5" t="s">
        <v>609</v>
      </c>
      <c r="X60" s="5">
        <f t="shared" si="18"/>
        <v>108350</v>
      </c>
      <c r="Y60" s="5" t="s">
        <v>34</v>
      </c>
      <c r="Z60" s="5" t="s">
        <v>34</v>
      </c>
      <c r="AA60" s="5" t="str">
        <f t="shared" si="19"/>
        <v>Tdap - prenatal</v>
      </c>
      <c r="AB60" s="5" t="s">
        <v>609</v>
      </c>
      <c r="AC60" s="5">
        <f t="shared" si="20"/>
        <v>108350</v>
      </c>
      <c r="AD60" s="5" t="s">
        <v>34</v>
      </c>
      <c r="AE60" s="5" t="s">
        <v>34</v>
      </c>
      <c r="AF60" s="5" t="str">
        <f t="shared" si="21"/>
        <v>Tdap - prenatal</v>
      </c>
      <c r="AG60" s="5" t="s">
        <v>609</v>
      </c>
      <c r="AH60" s="5">
        <f t="shared" si="22"/>
        <v>108350</v>
      </c>
      <c r="AI60" s="5" t="s">
        <v>34</v>
      </c>
      <c r="AJ60" s="5" t="s">
        <v>34</v>
      </c>
      <c r="AK60" s="5" t="str">
        <f t="shared" si="23"/>
        <v>Tdap - prenatal</v>
      </c>
      <c r="AL60" s="5" t="s">
        <v>609</v>
      </c>
      <c r="AM60" s="5">
        <f t="shared" si="24"/>
        <v>108350</v>
      </c>
      <c r="AN60" s="5" t="s">
        <v>34</v>
      </c>
      <c r="AO60" s="5" t="s">
        <v>34</v>
      </c>
      <c r="AP60" s="5" t="str">
        <f t="shared" si="25"/>
        <v>Tdap - prenatal</v>
      </c>
    </row>
    <row r="61" spans="1:42" ht="24" customHeight="1" x14ac:dyDescent="0.15">
      <c r="A61" s="5">
        <v>2045</v>
      </c>
      <c r="B61" s="5" t="s">
        <v>581</v>
      </c>
      <c r="C61" s="5" t="s">
        <v>612</v>
      </c>
      <c r="D61" s="5">
        <v>107624</v>
      </c>
      <c r="E61" s="5">
        <v>32</v>
      </c>
      <c r="F61" s="5" t="s">
        <v>1455</v>
      </c>
      <c r="G61" s="5" t="s">
        <v>1456</v>
      </c>
      <c r="H61" s="5" t="s">
        <v>612</v>
      </c>
      <c r="I61" s="5">
        <f t="shared" si="12"/>
        <v>107624</v>
      </c>
      <c r="J61" s="5">
        <v>25</v>
      </c>
      <c r="K61" s="5" t="s">
        <v>1453</v>
      </c>
      <c r="L61" s="5" t="str">
        <f>G61</f>
        <v>No Tdap - prenatal</v>
      </c>
      <c r="M61" s="5" t="s">
        <v>612</v>
      </c>
      <c r="N61" s="5">
        <f t="shared" si="14"/>
        <v>107624</v>
      </c>
      <c r="O61" s="5" t="s">
        <v>34</v>
      </c>
      <c r="P61" s="5" t="s">
        <v>34</v>
      </c>
      <c r="Q61" s="5" t="str">
        <f>L61</f>
        <v>No Tdap - prenatal</v>
      </c>
      <c r="R61" s="5" t="s">
        <v>612</v>
      </c>
      <c r="S61" s="5">
        <f t="shared" si="16"/>
        <v>107624</v>
      </c>
      <c r="T61" s="5" t="s">
        <v>34</v>
      </c>
      <c r="U61" s="5" t="s">
        <v>34</v>
      </c>
      <c r="V61" s="5" t="str">
        <f t="shared" si="17"/>
        <v>No Tdap - prenatal</v>
      </c>
      <c r="W61" s="5" t="s">
        <v>612</v>
      </c>
      <c r="X61" s="5">
        <f t="shared" si="18"/>
        <v>107624</v>
      </c>
      <c r="Y61" s="5" t="s">
        <v>34</v>
      </c>
      <c r="Z61" s="5" t="s">
        <v>34</v>
      </c>
      <c r="AA61" s="5" t="str">
        <f t="shared" si="19"/>
        <v>No Tdap - prenatal</v>
      </c>
      <c r="AB61" s="5" t="s">
        <v>612</v>
      </c>
      <c r="AC61" s="5">
        <f t="shared" si="20"/>
        <v>107624</v>
      </c>
      <c r="AD61" s="5" t="s">
        <v>34</v>
      </c>
      <c r="AE61" s="5" t="s">
        <v>34</v>
      </c>
      <c r="AF61" s="5" t="str">
        <f t="shared" si="21"/>
        <v>No Tdap - prenatal</v>
      </c>
      <c r="AG61" s="5" t="s">
        <v>612</v>
      </c>
      <c r="AH61" s="5">
        <f t="shared" si="22"/>
        <v>107624</v>
      </c>
      <c r="AI61" s="5" t="s">
        <v>34</v>
      </c>
      <c r="AJ61" s="5" t="s">
        <v>34</v>
      </c>
      <c r="AK61" s="5" t="str">
        <f t="shared" si="23"/>
        <v>No Tdap - prenatal</v>
      </c>
      <c r="AL61" s="5" t="s">
        <v>612</v>
      </c>
      <c r="AM61" s="5">
        <f t="shared" si="24"/>
        <v>107624</v>
      </c>
      <c r="AN61" s="5" t="s">
        <v>34</v>
      </c>
      <c r="AO61" s="5" t="s">
        <v>34</v>
      </c>
      <c r="AP61" s="5" t="str">
        <f t="shared" si="25"/>
        <v>No Tdap - prenatal</v>
      </c>
    </row>
    <row r="62" spans="1:42" ht="24" customHeight="1" x14ac:dyDescent="0.15">
      <c r="A62" s="5">
        <v>4167</v>
      </c>
      <c r="B62" s="5" t="s">
        <v>562</v>
      </c>
      <c r="C62" s="5" t="s">
        <v>33</v>
      </c>
      <c r="D62" s="5">
        <v>90</v>
      </c>
      <c r="E62" s="5" t="s">
        <v>34</v>
      </c>
      <c r="F62" s="5" t="s">
        <v>34</v>
      </c>
      <c r="G62" s="19"/>
      <c r="H62" s="5" t="s">
        <v>33</v>
      </c>
      <c r="I62" s="5">
        <v>90</v>
      </c>
      <c r="J62" s="5" t="s">
        <v>34</v>
      </c>
      <c r="K62" s="5" t="s">
        <v>34</v>
      </c>
      <c r="L62" s="19"/>
      <c r="M62" s="5" t="s">
        <v>33</v>
      </c>
      <c r="N62" s="5">
        <v>90</v>
      </c>
      <c r="O62" s="5" t="s">
        <v>34</v>
      </c>
      <c r="P62" s="5" t="s">
        <v>34</v>
      </c>
      <c r="Q62" s="19"/>
      <c r="R62" s="5" t="s">
        <v>33</v>
      </c>
      <c r="S62" s="5">
        <v>90</v>
      </c>
      <c r="T62" s="5" t="s">
        <v>34</v>
      </c>
      <c r="U62" s="5" t="s">
        <v>34</v>
      </c>
      <c r="V62" s="19"/>
      <c r="W62" s="5" t="s">
        <v>33</v>
      </c>
      <c r="X62" s="5">
        <v>90</v>
      </c>
      <c r="Y62" s="5" t="s">
        <v>34</v>
      </c>
      <c r="Z62" s="5" t="s">
        <v>34</v>
      </c>
      <c r="AA62" s="19"/>
      <c r="AB62" s="5" t="s">
        <v>33</v>
      </c>
      <c r="AC62" s="5">
        <v>90</v>
      </c>
      <c r="AD62" s="5" t="s">
        <v>1457</v>
      </c>
      <c r="AE62" s="5" t="s">
        <v>34</v>
      </c>
      <c r="AF62" s="19"/>
      <c r="AG62" s="5" t="s">
        <v>33</v>
      </c>
      <c r="AH62" s="5">
        <v>90</v>
      </c>
      <c r="AI62" s="5" t="s">
        <v>1458</v>
      </c>
      <c r="AJ62" s="5" t="s">
        <v>34</v>
      </c>
      <c r="AK62" s="5" t="s">
        <v>1459</v>
      </c>
      <c r="AL62" s="5" t="s">
        <v>33</v>
      </c>
      <c r="AM62" s="5">
        <v>90</v>
      </c>
      <c r="AN62" s="5" t="s">
        <v>34</v>
      </c>
      <c r="AO62" s="5" t="s">
        <v>34</v>
      </c>
      <c r="AP62" s="19"/>
    </row>
    <row r="63" spans="1:42" ht="24" customHeight="1" x14ac:dyDescent="0.15">
      <c r="A63" s="5">
        <v>4167</v>
      </c>
      <c r="B63" s="5" t="s">
        <v>562</v>
      </c>
      <c r="C63" s="5" t="s">
        <v>46</v>
      </c>
      <c r="D63" s="5">
        <v>81</v>
      </c>
      <c r="E63" s="5" t="s">
        <v>34</v>
      </c>
      <c r="F63" s="5" t="s">
        <v>34</v>
      </c>
      <c r="G63" s="19"/>
      <c r="H63" s="5" t="s">
        <v>46</v>
      </c>
      <c r="I63" s="5">
        <v>81</v>
      </c>
      <c r="J63" s="5" t="s">
        <v>34</v>
      </c>
      <c r="K63" s="5" t="s">
        <v>34</v>
      </c>
      <c r="L63" s="19"/>
      <c r="M63" s="5" t="s">
        <v>46</v>
      </c>
      <c r="N63" s="5">
        <v>81</v>
      </c>
      <c r="O63" s="5" t="s">
        <v>34</v>
      </c>
      <c r="P63" s="5" t="s">
        <v>34</v>
      </c>
      <c r="Q63" s="19"/>
      <c r="R63" s="5" t="s">
        <v>46</v>
      </c>
      <c r="S63" s="5">
        <v>81</v>
      </c>
      <c r="T63" s="5" t="s">
        <v>34</v>
      </c>
      <c r="U63" s="5" t="s">
        <v>34</v>
      </c>
      <c r="V63" s="19"/>
      <c r="W63" s="5" t="s">
        <v>46</v>
      </c>
      <c r="X63" s="5">
        <v>81</v>
      </c>
      <c r="Y63" s="5" t="s">
        <v>34</v>
      </c>
      <c r="Z63" s="5" t="s">
        <v>34</v>
      </c>
      <c r="AA63" s="19"/>
      <c r="AB63" s="5" t="s">
        <v>46</v>
      </c>
      <c r="AC63" s="5">
        <v>81</v>
      </c>
      <c r="AD63" s="5" t="s">
        <v>1460</v>
      </c>
      <c r="AE63" s="19"/>
      <c r="AF63" s="19"/>
      <c r="AG63" s="5" t="s">
        <v>46</v>
      </c>
      <c r="AH63" s="5">
        <v>81</v>
      </c>
      <c r="AI63" s="5" t="s">
        <v>1461</v>
      </c>
      <c r="AJ63" s="19"/>
      <c r="AK63" s="19"/>
      <c r="AL63" s="5" t="s">
        <v>46</v>
      </c>
      <c r="AM63" s="5">
        <v>81</v>
      </c>
      <c r="AN63" s="5" t="s">
        <v>34</v>
      </c>
      <c r="AO63" s="5" t="s">
        <v>34</v>
      </c>
      <c r="AP63" s="19"/>
    </row>
    <row r="64" spans="1:42" ht="24" customHeight="1" x14ac:dyDescent="0.15">
      <c r="A64" s="5">
        <v>3201</v>
      </c>
      <c r="B64" s="5" t="s">
        <v>614</v>
      </c>
      <c r="C64" s="5" t="s">
        <v>33</v>
      </c>
      <c r="D64" s="5">
        <v>341</v>
      </c>
      <c r="E64" s="5" t="s">
        <v>34</v>
      </c>
      <c r="F64" s="5" t="s">
        <v>34</v>
      </c>
      <c r="G64" s="19"/>
      <c r="H64" s="5" t="s">
        <v>33</v>
      </c>
      <c r="I64" s="5">
        <v>341</v>
      </c>
      <c r="J64" s="5" t="s">
        <v>34</v>
      </c>
      <c r="K64" s="5" t="s">
        <v>34</v>
      </c>
      <c r="L64" s="19"/>
      <c r="M64" s="5" t="s">
        <v>33</v>
      </c>
      <c r="N64" s="5">
        <v>341</v>
      </c>
      <c r="O64" s="5" t="s">
        <v>34</v>
      </c>
      <c r="P64" s="5" t="s">
        <v>34</v>
      </c>
      <c r="Q64" s="19"/>
      <c r="R64" s="5" t="s">
        <v>33</v>
      </c>
      <c r="S64" s="5">
        <v>341</v>
      </c>
      <c r="T64" s="5" t="s">
        <v>34</v>
      </c>
      <c r="U64" s="5" t="s">
        <v>34</v>
      </c>
      <c r="V64" s="19"/>
      <c r="W64" s="5" t="s">
        <v>33</v>
      </c>
      <c r="X64" s="5">
        <v>341</v>
      </c>
      <c r="Y64" s="5" t="s">
        <v>34</v>
      </c>
      <c r="Z64" s="5" t="s">
        <v>34</v>
      </c>
      <c r="AA64" s="19"/>
      <c r="AB64" s="5" t="s">
        <v>33</v>
      </c>
      <c r="AC64" s="5">
        <v>291</v>
      </c>
      <c r="AD64" s="5" t="s">
        <v>1462</v>
      </c>
      <c r="AE64" s="5" t="s">
        <v>1463</v>
      </c>
      <c r="AF64" s="19" t="s">
        <v>1464</v>
      </c>
      <c r="AG64" s="5" t="s">
        <v>33</v>
      </c>
      <c r="AH64" s="5">
        <v>341</v>
      </c>
      <c r="AI64" s="5" t="s">
        <v>34</v>
      </c>
      <c r="AJ64" s="5" t="s">
        <v>34</v>
      </c>
      <c r="AK64" s="19"/>
      <c r="AL64" s="5" t="s">
        <v>33</v>
      </c>
      <c r="AM64" s="5">
        <v>341</v>
      </c>
      <c r="AN64" s="5" t="s">
        <v>34</v>
      </c>
      <c r="AO64" s="5" t="s">
        <v>34</v>
      </c>
      <c r="AP64" s="19"/>
    </row>
    <row r="65" spans="1:42" ht="24" customHeight="1" x14ac:dyDescent="0.15">
      <c r="A65" s="5">
        <v>3201</v>
      </c>
      <c r="B65" s="5" t="s">
        <v>614</v>
      </c>
      <c r="C65" s="5" t="s">
        <v>46</v>
      </c>
      <c r="D65" s="5">
        <v>346</v>
      </c>
      <c r="E65" s="5" t="s">
        <v>34</v>
      </c>
      <c r="F65" s="5" t="s">
        <v>34</v>
      </c>
      <c r="G65" s="19"/>
      <c r="H65" s="5" t="s">
        <v>46</v>
      </c>
      <c r="I65" s="5">
        <v>346</v>
      </c>
      <c r="J65" s="5" t="s">
        <v>34</v>
      </c>
      <c r="K65" s="5" t="s">
        <v>34</v>
      </c>
      <c r="L65" s="19"/>
      <c r="M65" s="5" t="s">
        <v>46</v>
      </c>
      <c r="N65" s="5">
        <v>346</v>
      </c>
      <c r="O65" s="5" t="s">
        <v>34</v>
      </c>
      <c r="P65" s="5" t="s">
        <v>34</v>
      </c>
      <c r="Q65" s="19"/>
      <c r="R65" s="5" t="s">
        <v>46</v>
      </c>
      <c r="S65" s="5">
        <v>346</v>
      </c>
      <c r="T65" s="5" t="s">
        <v>34</v>
      </c>
      <c r="U65" s="5" t="s">
        <v>34</v>
      </c>
      <c r="V65" s="19"/>
      <c r="W65" s="5" t="s">
        <v>46</v>
      </c>
      <c r="X65" s="5">
        <v>346</v>
      </c>
      <c r="Y65" s="5" t="s">
        <v>34</v>
      </c>
      <c r="Z65" s="5" t="s">
        <v>34</v>
      </c>
      <c r="AA65" s="19"/>
      <c r="AB65" s="5" t="s">
        <v>46</v>
      </c>
      <c r="AC65" s="5">
        <v>292</v>
      </c>
      <c r="AD65" s="5" t="s">
        <v>1465</v>
      </c>
      <c r="AE65" s="19"/>
      <c r="AF65" s="19"/>
      <c r="AG65" s="5" t="s">
        <v>46</v>
      </c>
      <c r="AH65" s="5">
        <v>346</v>
      </c>
      <c r="AI65" s="5" t="s">
        <v>34</v>
      </c>
      <c r="AJ65" s="5" t="s">
        <v>34</v>
      </c>
      <c r="AK65" s="19"/>
      <c r="AL65" s="5" t="s">
        <v>46</v>
      </c>
      <c r="AM65" s="5">
        <v>346</v>
      </c>
      <c r="AN65" s="5" t="s">
        <v>34</v>
      </c>
      <c r="AO65" s="5" t="s">
        <v>34</v>
      </c>
      <c r="AP65" s="19"/>
    </row>
    <row r="66" spans="1:42" ht="24" customHeight="1" x14ac:dyDescent="0.15">
      <c r="A66" s="19">
        <v>3469</v>
      </c>
      <c r="B66" s="19" t="s">
        <v>659</v>
      </c>
      <c r="C66" s="5" t="s">
        <v>33</v>
      </c>
      <c r="D66" s="19">
        <v>269</v>
      </c>
      <c r="E66" s="19">
        <v>35</v>
      </c>
      <c r="F66" s="19" t="s">
        <v>1466</v>
      </c>
      <c r="G66" s="5" t="s">
        <v>1467</v>
      </c>
      <c r="H66" s="5" t="s">
        <v>33</v>
      </c>
      <c r="I66" s="19"/>
      <c r="J66" s="19" t="s">
        <v>34</v>
      </c>
      <c r="K66" s="19" t="s">
        <v>34</v>
      </c>
      <c r="L66" s="19"/>
      <c r="M66" s="5" t="s">
        <v>33</v>
      </c>
      <c r="N66" s="19"/>
      <c r="O66" s="19" t="s">
        <v>34</v>
      </c>
      <c r="P66" s="19" t="s">
        <v>34</v>
      </c>
      <c r="Q66" s="19"/>
      <c r="R66" s="5" t="s">
        <v>33</v>
      </c>
      <c r="S66" s="19"/>
      <c r="T66" s="19" t="s">
        <v>34</v>
      </c>
      <c r="U66" s="19" t="s">
        <v>34</v>
      </c>
      <c r="V66" s="19"/>
      <c r="W66" s="5" t="s">
        <v>33</v>
      </c>
      <c r="X66" s="19"/>
      <c r="Y66" s="19" t="s">
        <v>34</v>
      </c>
      <c r="Z66" s="19" t="s">
        <v>34</v>
      </c>
      <c r="AA66" s="19"/>
      <c r="AB66" s="5" t="s">
        <v>33</v>
      </c>
      <c r="AC66" s="19"/>
      <c r="AD66" s="19" t="s">
        <v>34</v>
      </c>
      <c r="AE66" s="19" t="s">
        <v>34</v>
      </c>
      <c r="AF66" s="19"/>
      <c r="AG66" s="5" t="s">
        <v>33</v>
      </c>
      <c r="AH66" s="19"/>
      <c r="AI66" s="19" t="s">
        <v>34</v>
      </c>
      <c r="AJ66" s="19" t="s">
        <v>34</v>
      </c>
      <c r="AK66" s="19"/>
      <c r="AL66" s="5" t="s">
        <v>33</v>
      </c>
      <c r="AM66" s="19"/>
      <c r="AN66" s="19" t="s">
        <v>34</v>
      </c>
      <c r="AO66" s="19" t="s">
        <v>34</v>
      </c>
      <c r="AP66" s="19"/>
    </row>
    <row r="67" spans="1:42" ht="24" customHeight="1" x14ac:dyDescent="0.15">
      <c r="A67" s="19">
        <v>3469</v>
      </c>
      <c r="B67" s="19" t="s">
        <v>659</v>
      </c>
      <c r="C67" s="5" t="s">
        <v>46</v>
      </c>
      <c r="D67" s="19">
        <v>102</v>
      </c>
      <c r="E67" s="19">
        <v>36</v>
      </c>
      <c r="F67" s="19"/>
      <c r="G67" s="5" t="s">
        <v>1468</v>
      </c>
      <c r="H67" s="5" t="s">
        <v>46</v>
      </c>
      <c r="I67" s="19"/>
      <c r="J67" s="19" t="s">
        <v>34</v>
      </c>
      <c r="K67" s="19" t="s">
        <v>34</v>
      </c>
      <c r="L67" s="19"/>
      <c r="M67" s="5" t="s">
        <v>46</v>
      </c>
      <c r="N67" s="19"/>
      <c r="O67" s="19" t="s">
        <v>34</v>
      </c>
      <c r="P67" s="19" t="s">
        <v>34</v>
      </c>
      <c r="Q67" s="19"/>
      <c r="R67" s="5" t="s">
        <v>46</v>
      </c>
      <c r="S67" s="19"/>
      <c r="T67" s="19" t="s">
        <v>34</v>
      </c>
      <c r="U67" s="19" t="s">
        <v>34</v>
      </c>
      <c r="V67" s="19"/>
      <c r="W67" s="5" t="s">
        <v>46</v>
      </c>
      <c r="X67" s="19"/>
      <c r="Y67" s="19" t="s">
        <v>34</v>
      </c>
      <c r="Z67" s="19" t="s">
        <v>34</v>
      </c>
      <c r="AA67" s="19"/>
      <c r="AB67" s="5" t="s">
        <v>46</v>
      </c>
      <c r="AC67" s="19"/>
      <c r="AD67" s="19" t="s">
        <v>34</v>
      </c>
      <c r="AE67" s="19" t="s">
        <v>34</v>
      </c>
      <c r="AF67" s="19"/>
      <c r="AG67" s="5" t="s">
        <v>46</v>
      </c>
      <c r="AH67" s="19"/>
      <c r="AI67" s="19" t="s">
        <v>34</v>
      </c>
      <c r="AJ67" s="19" t="s">
        <v>34</v>
      </c>
      <c r="AK67" s="19"/>
      <c r="AL67" s="5" t="s">
        <v>46</v>
      </c>
      <c r="AM67" s="19"/>
      <c r="AN67" s="19" t="s">
        <v>34</v>
      </c>
      <c r="AO67" s="19" t="s">
        <v>34</v>
      </c>
      <c r="AP67" s="19"/>
    </row>
    <row r="68" spans="1:42" ht="24" customHeight="1" x14ac:dyDescent="0.15">
      <c r="A68" s="19">
        <v>3469</v>
      </c>
      <c r="B68" s="19" t="s">
        <v>659</v>
      </c>
      <c r="C68" s="5" t="s">
        <v>1469</v>
      </c>
      <c r="D68" s="19">
        <v>152</v>
      </c>
      <c r="E68" s="19">
        <v>20</v>
      </c>
      <c r="F68" s="19"/>
      <c r="G68" s="5" t="s">
        <v>1470</v>
      </c>
      <c r="H68" s="5" t="s">
        <v>1469</v>
      </c>
      <c r="I68" s="19"/>
      <c r="J68" s="19" t="s">
        <v>34</v>
      </c>
      <c r="K68" s="19" t="s">
        <v>34</v>
      </c>
      <c r="L68" s="19"/>
      <c r="M68" s="5" t="s">
        <v>1469</v>
      </c>
      <c r="N68" s="19"/>
      <c r="O68" s="19" t="s">
        <v>34</v>
      </c>
      <c r="P68" s="19" t="s">
        <v>34</v>
      </c>
      <c r="Q68" s="19"/>
      <c r="R68" s="5" t="s">
        <v>1469</v>
      </c>
      <c r="S68" s="19"/>
      <c r="T68" s="19" t="s">
        <v>34</v>
      </c>
      <c r="U68" s="19" t="s">
        <v>34</v>
      </c>
      <c r="V68" s="19"/>
      <c r="W68" s="5" t="s">
        <v>1469</v>
      </c>
      <c r="X68" s="19"/>
      <c r="Y68" s="19" t="s">
        <v>34</v>
      </c>
      <c r="Z68" s="19" t="s">
        <v>34</v>
      </c>
      <c r="AA68" s="19"/>
      <c r="AB68" s="5" t="s">
        <v>1469</v>
      </c>
      <c r="AC68" s="19"/>
      <c r="AD68" s="19" t="s">
        <v>34</v>
      </c>
      <c r="AE68" s="19" t="s">
        <v>34</v>
      </c>
      <c r="AF68" s="19"/>
      <c r="AG68" s="5" t="s">
        <v>1469</v>
      </c>
      <c r="AH68" s="19"/>
      <c r="AI68" s="19" t="s">
        <v>34</v>
      </c>
      <c r="AJ68" s="19" t="s">
        <v>34</v>
      </c>
      <c r="AK68" s="19"/>
      <c r="AL68" s="5" t="s">
        <v>1469</v>
      </c>
      <c r="AM68" s="19"/>
      <c r="AN68" s="19" t="s">
        <v>34</v>
      </c>
      <c r="AO68" s="19" t="s">
        <v>34</v>
      </c>
      <c r="AP68" s="19"/>
    </row>
    <row r="69" spans="1:42" ht="24" customHeight="1" x14ac:dyDescent="0.15">
      <c r="A69" s="19">
        <v>3469</v>
      </c>
      <c r="B69" s="19" t="s">
        <v>659</v>
      </c>
      <c r="C69" s="5" t="s">
        <v>1471</v>
      </c>
      <c r="D69" s="19">
        <v>103</v>
      </c>
      <c r="E69" s="19">
        <v>15</v>
      </c>
      <c r="F69" s="19"/>
      <c r="G69" s="5" t="s">
        <v>1472</v>
      </c>
      <c r="H69" s="5" t="s">
        <v>1471</v>
      </c>
      <c r="I69" s="19"/>
      <c r="J69" s="19" t="s">
        <v>34</v>
      </c>
      <c r="K69" s="19" t="s">
        <v>34</v>
      </c>
      <c r="L69" s="19"/>
      <c r="M69" s="5" t="s">
        <v>1471</v>
      </c>
      <c r="N69" s="19"/>
      <c r="O69" s="19" t="s">
        <v>34</v>
      </c>
      <c r="P69" s="19" t="s">
        <v>34</v>
      </c>
      <c r="Q69" s="19"/>
      <c r="R69" s="5" t="s">
        <v>1471</v>
      </c>
      <c r="S69" s="19"/>
      <c r="T69" s="19" t="s">
        <v>34</v>
      </c>
      <c r="U69" s="19" t="s">
        <v>34</v>
      </c>
      <c r="V69" s="19"/>
      <c r="W69" s="5" t="s">
        <v>1471</v>
      </c>
      <c r="X69" s="19"/>
      <c r="Y69" s="19" t="s">
        <v>34</v>
      </c>
      <c r="Z69" s="19" t="s">
        <v>34</v>
      </c>
      <c r="AA69" s="19"/>
      <c r="AB69" s="5" t="s">
        <v>1471</v>
      </c>
      <c r="AC69" s="19"/>
      <c r="AD69" s="19" t="s">
        <v>34</v>
      </c>
      <c r="AE69" s="19" t="s">
        <v>34</v>
      </c>
      <c r="AF69" s="19"/>
      <c r="AG69" s="5" t="s">
        <v>1471</v>
      </c>
      <c r="AH69" s="19"/>
      <c r="AI69" s="19" t="s">
        <v>34</v>
      </c>
      <c r="AJ69" s="19" t="s">
        <v>34</v>
      </c>
      <c r="AK69" s="19"/>
      <c r="AL69" s="5" t="s">
        <v>1471</v>
      </c>
      <c r="AM69" s="19"/>
      <c r="AN69" s="19" t="s">
        <v>34</v>
      </c>
      <c r="AO69" s="19" t="s">
        <v>34</v>
      </c>
      <c r="AP69" s="19"/>
    </row>
    <row r="70" spans="1:42" ht="24" customHeight="1" x14ac:dyDescent="0.15">
      <c r="A70" s="5">
        <v>2815</v>
      </c>
      <c r="B70" s="5" t="s">
        <v>690</v>
      </c>
      <c r="C70" s="5" t="s">
        <v>697</v>
      </c>
      <c r="D70" s="22">
        <v>114067</v>
      </c>
      <c r="E70" s="5">
        <v>23</v>
      </c>
      <c r="F70" s="5" t="s">
        <v>34</v>
      </c>
      <c r="G70" s="5" t="s">
        <v>1473</v>
      </c>
      <c r="H70" s="5" t="s">
        <v>697</v>
      </c>
      <c r="I70" s="22">
        <v>114067</v>
      </c>
      <c r="J70" s="5" t="s">
        <v>34</v>
      </c>
      <c r="K70" s="5" t="s">
        <v>34</v>
      </c>
      <c r="L70" s="19"/>
      <c r="M70" s="5" t="s">
        <v>697</v>
      </c>
      <c r="N70" s="22">
        <v>114067</v>
      </c>
      <c r="O70" s="5" t="s">
        <v>34</v>
      </c>
      <c r="P70" s="5" t="s">
        <v>34</v>
      </c>
      <c r="Q70" s="19"/>
      <c r="R70" s="5" t="s">
        <v>697</v>
      </c>
      <c r="S70" s="22">
        <v>114067</v>
      </c>
      <c r="T70" s="5" t="s">
        <v>34</v>
      </c>
      <c r="U70" s="5" t="s">
        <v>34</v>
      </c>
      <c r="V70" s="19"/>
      <c r="W70" s="5" t="s">
        <v>697</v>
      </c>
      <c r="X70" s="22">
        <v>114067</v>
      </c>
      <c r="Y70" s="5" t="s">
        <v>34</v>
      </c>
      <c r="Z70" s="5" t="s">
        <v>34</v>
      </c>
      <c r="AA70" s="19"/>
      <c r="AB70" s="5" t="s">
        <v>697</v>
      </c>
      <c r="AC70" s="22">
        <v>114067</v>
      </c>
      <c r="AD70" s="5" t="s">
        <v>34</v>
      </c>
      <c r="AE70" s="5" t="s">
        <v>34</v>
      </c>
      <c r="AF70" s="19"/>
      <c r="AG70" s="5" t="s">
        <v>697</v>
      </c>
      <c r="AH70" s="22">
        <v>114067</v>
      </c>
      <c r="AI70" s="5" t="s">
        <v>34</v>
      </c>
      <c r="AJ70" s="5" t="s">
        <v>34</v>
      </c>
      <c r="AK70" s="19"/>
      <c r="AL70" s="5" t="s">
        <v>697</v>
      </c>
      <c r="AM70" s="22">
        <v>114067</v>
      </c>
      <c r="AN70" s="5" t="s">
        <v>34</v>
      </c>
      <c r="AO70" s="5" t="s">
        <v>34</v>
      </c>
      <c r="AP70" s="19"/>
    </row>
    <row r="71" spans="1:42" ht="24" customHeight="1" x14ac:dyDescent="0.15">
      <c r="A71" s="5">
        <v>2815</v>
      </c>
      <c r="B71" s="5" t="s">
        <v>690</v>
      </c>
      <c r="C71" s="5" t="s">
        <v>701</v>
      </c>
      <c r="D71" s="22">
        <v>20415</v>
      </c>
      <c r="E71" s="5" t="s">
        <v>1474</v>
      </c>
      <c r="F71" s="5" t="s">
        <v>34</v>
      </c>
      <c r="G71" s="5" t="s">
        <v>1475</v>
      </c>
      <c r="H71" s="5" t="s">
        <v>701</v>
      </c>
      <c r="I71" s="22">
        <v>20415</v>
      </c>
      <c r="J71" s="5" t="s">
        <v>34</v>
      </c>
      <c r="K71" s="5" t="s">
        <v>34</v>
      </c>
      <c r="L71" s="19"/>
      <c r="M71" s="5" t="s">
        <v>701</v>
      </c>
      <c r="N71" s="22">
        <v>20415</v>
      </c>
      <c r="O71" s="5" t="s">
        <v>34</v>
      </c>
      <c r="P71" s="5" t="s">
        <v>34</v>
      </c>
      <c r="Q71" s="19"/>
      <c r="R71" s="5" t="s">
        <v>701</v>
      </c>
      <c r="S71" s="22">
        <v>20415</v>
      </c>
      <c r="T71" s="5" t="s">
        <v>34</v>
      </c>
      <c r="U71" s="5" t="s">
        <v>34</v>
      </c>
      <c r="V71" s="19"/>
      <c r="W71" s="5" t="s">
        <v>701</v>
      </c>
      <c r="X71" s="22">
        <v>20415</v>
      </c>
      <c r="Y71" s="5" t="s">
        <v>34</v>
      </c>
      <c r="Z71" s="5" t="s">
        <v>34</v>
      </c>
      <c r="AA71" s="19"/>
      <c r="AB71" s="5" t="s">
        <v>701</v>
      </c>
      <c r="AC71" s="22">
        <v>20415</v>
      </c>
      <c r="AD71" s="5" t="s">
        <v>34</v>
      </c>
      <c r="AE71" s="5" t="s">
        <v>34</v>
      </c>
      <c r="AF71" s="19"/>
      <c r="AG71" s="5" t="s">
        <v>701</v>
      </c>
      <c r="AH71" s="22">
        <v>20415</v>
      </c>
      <c r="AI71" s="5" t="s">
        <v>34</v>
      </c>
      <c r="AJ71" s="5" t="s">
        <v>34</v>
      </c>
      <c r="AK71" s="19"/>
      <c r="AL71" s="5" t="s">
        <v>701</v>
      </c>
      <c r="AM71" s="22">
        <v>20415</v>
      </c>
      <c r="AN71" s="5" t="s">
        <v>34</v>
      </c>
      <c r="AO71" s="5" t="s">
        <v>34</v>
      </c>
      <c r="AP71" s="19"/>
    </row>
    <row r="72" spans="1:42" ht="24" customHeight="1" x14ac:dyDescent="0.15">
      <c r="A72" s="5">
        <v>2815</v>
      </c>
      <c r="B72" s="5" t="s">
        <v>690</v>
      </c>
      <c r="C72" s="5" t="s">
        <v>705</v>
      </c>
      <c r="D72" s="22">
        <v>311156</v>
      </c>
      <c r="E72" s="5">
        <v>117</v>
      </c>
      <c r="F72" s="5" t="s">
        <v>34</v>
      </c>
      <c r="G72" s="19"/>
      <c r="H72" s="5" t="s">
        <v>705</v>
      </c>
      <c r="I72" s="22">
        <v>311156</v>
      </c>
      <c r="J72" s="5" t="s">
        <v>34</v>
      </c>
      <c r="K72" s="5" t="s">
        <v>34</v>
      </c>
      <c r="L72" s="19"/>
      <c r="M72" s="5" t="s">
        <v>705</v>
      </c>
      <c r="N72" s="22">
        <v>311156</v>
      </c>
      <c r="O72" s="5" t="s">
        <v>34</v>
      </c>
      <c r="P72" s="5" t="s">
        <v>34</v>
      </c>
      <c r="Q72" s="19"/>
      <c r="R72" s="5" t="s">
        <v>705</v>
      </c>
      <c r="S72" s="22">
        <v>311156</v>
      </c>
      <c r="T72" s="5" t="s">
        <v>34</v>
      </c>
      <c r="U72" s="5" t="s">
        <v>34</v>
      </c>
      <c r="V72" s="19"/>
      <c r="W72" s="5" t="s">
        <v>705</v>
      </c>
      <c r="X72" s="22">
        <v>311156</v>
      </c>
      <c r="Y72" s="5" t="s">
        <v>34</v>
      </c>
      <c r="Z72" s="5" t="s">
        <v>34</v>
      </c>
      <c r="AA72" s="19"/>
      <c r="AB72" s="5" t="s">
        <v>705</v>
      </c>
      <c r="AC72" s="22">
        <v>311156</v>
      </c>
      <c r="AD72" s="5" t="s">
        <v>34</v>
      </c>
      <c r="AE72" s="5" t="s">
        <v>34</v>
      </c>
      <c r="AF72" s="19"/>
      <c r="AG72" s="5" t="s">
        <v>705</v>
      </c>
      <c r="AH72" s="22">
        <v>311156</v>
      </c>
      <c r="AI72" s="5" t="s">
        <v>34</v>
      </c>
      <c r="AJ72" s="5" t="s">
        <v>34</v>
      </c>
      <c r="AK72" s="19"/>
      <c r="AL72" s="5" t="s">
        <v>705</v>
      </c>
      <c r="AM72" s="22">
        <v>311156</v>
      </c>
      <c r="AN72" s="5" t="s">
        <v>34</v>
      </c>
      <c r="AO72" s="5" t="s">
        <v>34</v>
      </c>
      <c r="AP72" s="19"/>
    </row>
    <row r="73" spans="1:42" ht="24" customHeight="1" x14ac:dyDescent="0.15">
      <c r="A73" s="5">
        <v>2815</v>
      </c>
      <c r="B73" s="5" t="s">
        <v>690</v>
      </c>
      <c r="C73" s="5" t="s">
        <v>709</v>
      </c>
      <c r="D73" s="22">
        <v>33286</v>
      </c>
      <c r="E73" s="5">
        <v>21</v>
      </c>
      <c r="F73" s="5" t="s">
        <v>34</v>
      </c>
      <c r="G73" s="5" t="s">
        <v>1476</v>
      </c>
      <c r="H73" s="5" t="s">
        <v>709</v>
      </c>
      <c r="I73" s="22">
        <v>33286</v>
      </c>
      <c r="J73" s="5" t="s">
        <v>34</v>
      </c>
      <c r="K73" s="5" t="s">
        <v>34</v>
      </c>
      <c r="L73" s="19"/>
      <c r="M73" s="5" t="s">
        <v>709</v>
      </c>
      <c r="N73" s="22">
        <v>33286</v>
      </c>
      <c r="O73" s="5" t="s">
        <v>34</v>
      </c>
      <c r="P73" s="5" t="s">
        <v>34</v>
      </c>
      <c r="Q73" s="19"/>
      <c r="R73" s="5" t="s">
        <v>709</v>
      </c>
      <c r="S73" s="22">
        <v>33286</v>
      </c>
      <c r="T73" s="5" t="s">
        <v>34</v>
      </c>
      <c r="U73" s="5" t="s">
        <v>34</v>
      </c>
      <c r="V73" s="19"/>
      <c r="W73" s="5" t="s">
        <v>709</v>
      </c>
      <c r="X73" s="22">
        <v>33286</v>
      </c>
      <c r="Y73" s="5" t="s">
        <v>34</v>
      </c>
      <c r="Z73" s="5" t="s">
        <v>34</v>
      </c>
      <c r="AA73" s="19"/>
      <c r="AB73" s="5" t="s">
        <v>709</v>
      </c>
      <c r="AC73" s="22">
        <v>33286</v>
      </c>
      <c r="AD73" s="5" t="s">
        <v>34</v>
      </c>
      <c r="AE73" s="5" t="s">
        <v>34</v>
      </c>
      <c r="AF73" s="19"/>
      <c r="AG73" s="5" t="s">
        <v>709</v>
      </c>
      <c r="AH73" s="22">
        <v>33286</v>
      </c>
      <c r="AI73" s="5" t="s">
        <v>34</v>
      </c>
      <c r="AJ73" s="5" t="s">
        <v>34</v>
      </c>
      <c r="AK73" s="19"/>
      <c r="AL73" s="5" t="s">
        <v>709</v>
      </c>
      <c r="AM73" s="22">
        <v>33286</v>
      </c>
      <c r="AN73" s="5" t="s">
        <v>34</v>
      </c>
      <c r="AO73" s="5" t="s">
        <v>34</v>
      </c>
      <c r="AP73" s="19"/>
    </row>
    <row r="74" spans="1:42" ht="30.75" customHeight="1" x14ac:dyDescent="0.15">
      <c r="A74" s="5">
        <v>2815</v>
      </c>
      <c r="B74" s="5" t="s">
        <v>690</v>
      </c>
      <c r="C74" s="5" t="s">
        <v>713</v>
      </c>
      <c r="D74" s="22">
        <v>22281</v>
      </c>
      <c r="E74" s="5">
        <v>27</v>
      </c>
      <c r="F74" s="5" t="s">
        <v>34</v>
      </c>
      <c r="G74" s="5" t="s">
        <v>1477</v>
      </c>
      <c r="H74" s="5" t="s">
        <v>713</v>
      </c>
      <c r="I74" s="22">
        <v>22281</v>
      </c>
      <c r="J74" s="5" t="s">
        <v>34</v>
      </c>
      <c r="K74" s="5" t="s">
        <v>34</v>
      </c>
      <c r="L74" s="19"/>
      <c r="M74" s="5" t="s">
        <v>713</v>
      </c>
      <c r="N74" s="22">
        <v>22281</v>
      </c>
      <c r="O74" s="5" t="s">
        <v>34</v>
      </c>
      <c r="P74" s="5" t="s">
        <v>34</v>
      </c>
      <c r="Q74" s="19"/>
      <c r="R74" s="5" t="s">
        <v>713</v>
      </c>
      <c r="S74" s="22">
        <v>22281</v>
      </c>
      <c r="T74" s="5" t="s">
        <v>34</v>
      </c>
      <c r="U74" s="5" t="s">
        <v>34</v>
      </c>
      <c r="V74" s="19"/>
      <c r="W74" s="5" t="s">
        <v>713</v>
      </c>
      <c r="X74" s="22">
        <v>22281</v>
      </c>
      <c r="Y74" s="5" t="s">
        <v>34</v>
      </c>
      <c r="Z74" s="5" t="s">
        <v>34</v>
      </c>
      <c r="AA74" s="19"/>
      <c r="AB74" s="5" t="s">
        <v>713</v>
      </c>
      <c r="AC74" s="22">
        <v>22281</v>
      </c>
      <c r="AD74" s="5" t="s">
        <v>34</v>
      </c>
      <c r="AE74" s="5" t="s">
        <v>34</v>
      </c>
      <c r="AF74" s="19"/>
      <c r="AG74" s="5" t="s">
        <v>713</v>
      </c>
      <c r="AH74" s="22">
        <v>22281</v>
      </c>
      <c r="AI74" s="5" t="s">
        <v>34</v>
      </c>
      <c r="AJ74" s="5" t="s">
        <v>34</v>
      </c>
      <c r="AK74" s="19"/>
      <c r="AL74" s="5" t="s">
        <v>713</v>
      </c>
      <c r="AM74" s="22">
        <v>22281</v>
      </c>
      <c r="AN74" s="5" t="s">
        <v>34</v>
      </c>
      <c r="AO74" s="5" t="s">
        <v>34</v>
      </c>
      <c r="AP74" s="19"/>
    </row>
    <row r="75" spans="1:42" ht="15.75" customHeight="1" x14ac:dyDescent="0.15">
      <c r="A75" s="5">
        <v>2815</v>
      </c>
      <c r="B75" s="5" t="s">
        <v>690</v>
      </c>
      <c r="C75" s="5" t="s">
        <v>717</v>
      </c>
      <c r="D75" s="22">
        <v>638155</v>
      </c>
      <c r="E75" s="5">
        <v>745</v>
      </c>
      <c r="F75" s="5" t="s">
        <v>34</v>
      </c>
      <c r="G75" s="19"/>
      <c r="H75" s="5" t="s">
        <v>717</v>
      </c>
      <c r="I75" s="22">
        <v>638155</v>
      </c>
      <c r="J75" s="5" t="s">
        <v>34</v>
      </c>
      <c r="K75" s="5" t="s">
        <v>34</v>
      </c>
      <c r="L75" s="19"/>
      <c r="M75" s="5" t="s">
        <v>717</v>
      </c>
      <c r="N75" s="22">
        <v>638155</v>
      </c>
      <c r="O75" s="5" t="s">
        <v>34</v>
      </c>
      <c r="P75" s="5" t="s">
        <v>34</v>
      </c>
      <c r="Q75" s="19"/>
      <c r="R75" s="5" t="s">
        <v>717</v>
      </c>
      <c r="S75" s="22">
        <v>638155</v>
      </c>
      <c r="T75" s="5" t="s">
        <v>34</v>
      </c>
      <c r="U75" s="5" t="s">
        <v>34</v>
      </c>
      <c r="V75" s="19"/>
      <c r="W75" s="5" t="s">
        <v>717</v>
      </c>
      <c r="X75" s="22">
        <v>638155</v>
      </c>
      <c r="Y75" s="5" t="s">
        <v>34</v>
      </c>
      <c r="Z75" s="5" t="s">
        <v>34</v>
      </c>
      <c r="AA75" s="19"/>
      <c r="AB75" s="5" t="s">
        <v>717</v>
      </c>
      <c r="AC75" s="22">
        <v>638155</v>
      </c>
      <c r="AD75" s="5" t="s">
        <v>34</v>
      </c>
      <c r="AE75" s="5" t="s">
        <v>34</v>
      </c>
      <c r="AF75" s="19"/>
      <c r="AG75" s="5" t="s">
        <v>717</v>
      </c>
      <c r="AH75" s="22">
        <v>638155</v>
      </c>
      <c r="AI75" s="5" t="s">
        <v>34</v>
      </c>
      <c r="AJ75" s="5" t="s">
        <v>34</v>
      </c>
      <c r="AK75" s="19"/>
      <c r="AL75" s="5" t="s">
        <v>717</v>
      </c>
      <c r="AM75" s="22">
        <v>638155</v>
      </c>
      <c r="AN75" s="5" t="s">
        <v>34</v>
      </c>
      <c r="AO75" s="5" t="s">
        <v>34</v>
      </c>
      <c r="AP75" s="19"/>
    </row>
    <row r="76" spans="1:42" ht="15.75" customHeight="1" x14ac:dyDescent="0.15">
      <c r="A76" s="5">
        <v>2030</v>
      </c>
      <c r="B76" s="5" t="s">
        <v>721</v>
      </c>
      <c r="C76" s="5" t="s">
        <v>33</v>
      </c>
      <c r="D76" s="5">
        <v>5726</v>
      </c>
      <c r="E76" s="5">
        <v>1</v>
      </c>
      <c r="F76" s="5" t="s">
        <v>1478</v>
      </c>
      <c r="G76" s="5" t="s">
        <v>1479</v>
      </c>
      <c r="H76" s="5" t="s">
        <v>33</v>
      </c>
      <c r="I76" s="5">
        <v>5726</v>
      </c>
      <c r="J76" s="5" t="s">
        <v>34</v>
      </c>
      <c r="K76" s="5" t="s">
        <v>34</v>
      </c>
      <c r="L76" s="19"/>
      <c r="M76" s="5" t="s">
        <v>33</v>
      </c>
      <c r="N76" s="5">
        <v>5726</v>
      </c>
      <c r="O76" s="5" t="s">
        <v>34</v>
      </c>
      <c r="P76" s="5" t="s">
        <v>34</v>
      </c>
      <c r="Q76" s="19"/>
      <c r="R76" s="5" t="s">
        <v>33</v>
      </c>
      <c r="S76" s="5">
        <v>5726</v>
      </c>
      <c r="T76" s="5" t="s">
        <v>34</v>
      </c>
      <c r="U76" s="5" t="s">
        <v>34</v>
      </c>
      <c r="V76" s="19"/>
      <c r="W76" s="5" t="s">
        <v>33</v>
      </c>
      <c r="X76" s="5">
        <v>5726</v>
      </c>
      <c r="Y76" s="5" t="s">
        <v>34</v>
      </c>
      <c r="Z76" s="5" t="s">
        <v>34</v>
      </c>
      <c r="AA76" s="19"/>
      <c r="AB76" s="5" t="s">
        <v>33</v>
      </c>
      <c r="AC76" s="5">
        <v>5726</v>
      </c>
      <c r="AD76" s="5" t="s">
        <v>34</v>
      </c>
      <c r="AE76" s="5" t="s">
        <v>34</v>
      </c>
      <c r="AF76" s="19"/>
      <c r="AG76" s="5" t="s">
        <v>33</v>
      </c>
      <c r="AH76" s="5">
        <v>5726</v>
      </c>
      <c r="AI76" s="5" t="s">
        <v>34</v>
      </c>
      <c r="AJ76" s="5" t="s">
        <v>34</v>
      </c>
      <c r="AK76" s="19"/>
      <c r="AL76" s="5" t="s">
        <v>33</v>
      </c>
      <c r="AM76" s="5">
        <v>5726</v>
      </c>
      <c r="AN76" s="5" t="s">
        <v>34</v>
      </c>
      <c r="AO76" s="5" t="s">
        <v>34</v>
      </c>
      <c r="AP76" s="19"/>
    </row>
    <row r="77" spans="1:42" ht="15.75" customHeight="1" x14ac:dyDescent="0.15">
      <c r="A77" s="5">
        <v>2030</v>
      </c>
      <c r="B77" s="5" t="s">
        <v>721</v>
      </c>
      <c r="C77" s="5" t="s">
        <v>46</v>
      </c>
      <c r="D77" s="5">
        <v>93708</v>
      </c>
      <c r="E77" s="5">
        <v>14</v>
      </c>
      <c r="F77" s="5" t="s">
        <v>34</v>
      </c>
      <c r="G77" s="19"/>
      <c r="H77" s="5" t="s">
        <v>46</v>
      </c>
      <c r="I77" s="5">
        <v>93708</v>
      </c>
      <c r="J77" s="5" t="s">
        <v>34</v>
      </c>
      <c r="K77" s="5" t="s">
        <v>34</v>
      </c>
      <c r="L77" s="19"/>
      <c r="M77" s="5" t="s">
        <v>46</v>
      </c>
      <c r="N77" s="5">
        <v>93708</v>
      </c>
      <c r="O77" s="5" t="s">
        <v>34</v>
      </c>
      <c r="P77" s="5" t="s">
        <v>34</v>
      </c>
      <c r="Q77" s="19"/>
      <c r="R77" s="5" t="s">
        <v>46</v>
      </c>
      <c r="S77" s="5">
        <v>93708</v>
      </c>
      <c r="T77" s="5" t="s">
        <v>34</v>
      </c>
      <c r="U77" s="5" t="s">
        <v>34</v>
      </c>
      <c r="V77" s="19"/>
      <c r="W77" s="5" t="s">
        <v>46</v>
      </c>
      <c r="X77" s="5">
        <v>93708</v>
      </c>
      <c r="Y77" s="5" t="s">
        <v>34</v>
      </c>
      <c r="Z77" s="5" t="s">
        <v>34</v>
      </c>
      <c r="AA77" s="19"/>
      <c r="AB77" s="5" t="s">
        <v>46</v>
      </c>
      <c r="AC77" s="5">
        <v>93708</v>
      </c>
      <c r="AD77" s="5" t="s">
        <v>34</v>
      </c>
      <c r="AE77" s="5" t="s">
        <v>34</v>
      </c>
      <c r="AF77" s="19"/>
      <c r="AG77" s="5" t="s">
        <v>46</v>
      </c>
      <c r="AH77" s="5">
        <v>93708</v>
      </c>
      <c r="AI77" s="5" t="s">
        <v>34</v>
      </c>
      <c r="AJ77" s="5" t="s">
        <v>34</v>
      </c>
      <c r="AK77" s="19"/>
      <c r="AL77" s="5" t="s">
        <v>46</v>
      </c>
      <c r="AM77" s="5">
        <v>93708</v>
      </c>
      <c r="AN77" s="5" t="s">
        <v>34</v>
      </c>
      <c r="AO77" s="5" t="s">
        <v>34</v>
      </c>
      <c r="AP77" s="19"/>
    </row>
    <row r="78" spans="1:42" ht="70.5" customHeight="1" x14ac:dyDescent="0.15">
      <c r="A78" s="5">
        <v>507</v>
      </c>
      <c r="B78" s="5" t="s">
        <v>772</v>
      </c>
      <c r="C78" s="5" t="s">
        <v>33</v>
      </c>
      <c r="D78" s="5">
        <v>76</v>
      </c>
      <c r="E78" s="5" t="s">
        <v>34</v>
      </c>
      <c r="F78" s="5" t="s">
        <v>34</v>
      </c>
      <c r="G78" s="19"/>
      <c r="H78" s="5" t="s">
        <v>33</v>
      </c>
      <c r="I78" s="5">
        <v>76</v>
      </c>
      <c r="J78" s="5" t="s">
        <v>34</v>
      </c>
      <c r="K78" s="5" t="s">
        <v>34</v>
      </c>
      <c r="L78" s="19"/>
      <c r="M78" s="5" t="s">
        <v>33</v>
      </c>
      <c r="N78" s="5">
        <v>76</v>
      </c>
      <c r="O78" s="5" t="s">
        <v>34</v>
      </c>
      <c r="P78" s="5" t="s">
        <v>34</v>
      </c>
      <c r="Q78" s="19"/>
      <c r="R78" s="5" t="s">
        <v>33</v>
      </c>
      <c r="S78" s="5">
        <v>76</v>
      </c>
      <c r="T78" s="5" t="s">
        <v>34</v>
      </c>
      <c r="U78" s="5" t="s">
        <v>34</v>
      </c>
      <c r="V78" s="19"/>
      <c r="W78" s="5" t="s">
        <v>33</v>
      </c>
      <c r="X78" s="5">
        <v>76</v>
      </c>
      <c r="Y78" s="5" t="s">
        <v>34</v>
      </c>
      <c r="Z78" s="5" t="s">
        <v>34</v>
      </c>
      <c r="AA78" s="19"/>
      <c r="AB78" s="5" t="s">
        <v>33</v>
      </c>
      <c r="AC78" s="5">
        <v>76</v>
      </c>
      <c r="AD78" s="5">
        <v>70</v>
      </c>
      <c r="AE78" s="5" t="s">
        <v>34</v>
      </c>
      <c r="AF78" s="5" t="s">
        <v>1480</v>
      </c>
      <c r="AG78" s="5" t="s">
        <v>33</v>
      </c>
      <c r="AH78" s="5">
        <v>76</v>
      </c>
      <c r="AI78" s="5" t="s">
        <v>34</v>
      </c>
      <c r="AJ78" s="5" t="s">
        <v>34</v>
      </c>
      <c r="AK78" s="19"/>
      <c r="AL78" s="5" t="s">
        <v>33</v>
      </c>
      <c r="AM78" s="5">
        <v>76</v>
      </c>
      <c r="AN78" s="5" t="s">
        <v>34</v>
      </c>
      <c r="AO78" s="5" t="s">
        <v>34</v>
      </c>
      <c r="AP78" s="19"/>
    </row>
    <row r="79" spans="1:42" ht="67.5" customHeight="1" x14ac:dyDescent="0.15">
      <c r="A79" s="5">
        <v>507</v>
      </c>
      <c r="B79" s="5" t="s">
        <v>772</v>
      </c>
      <c r="C79" s="5" t="s">
        <v>46</v>
      </c>
      <c r="D79" s="5">
        <v>35</v>
      </c>
      <c r="E79" s="5" t="s">
        <v>34</v>
      </c>
      <c r="F79" s="5" t="s">
        <v>34</v>
      </c>
      <c r="G79" s="19"/>
      <c r="H79" s="5" t="s">
        <v>46</v>
      </c>
      <c r="I79" s="5">
        <v>35</v>
      </c>
      <c r="J79" s="5" t="s">
        <v>34</v>
      </c>
      <c r="K79" s="5" t="s">
        <v>34</v>
      </c>
      <c r="L79" s="19"/>
      <c r="M79" s="5" t="s">
        <v>46</v>
      </c>
      <c r="N79" s="5">
        <v>35</v>
      </c>
      <c r="O79" s="5" t="s">
        <v>34</v>
      </c>
      <c r="P79" s="5" t="s">
        <v>34</v>
      </c>
      <c r="Q79" s="19"/>
      <c r="R79" s="5" t="s">
        <v>46</v>
      </c>
      <c r="S79" s="5">
        <v>35</v>
      </c>
      <c r="T79" s="5" t="s">
        <v>34</v>
      </c>
      <c r="U79" s="5" t="s">
        <v>34</v>
      </c>
      <c r="V79" s="19"/>
      <c r="W79" s="5" t="s">
        <v>46</v>
      </c>
      <c r="X79" s="5">
        <v>35</v>
      </c>
      <c r="Y79" s="5" t="s">
        <v>34</v>
      </c>
      <c r="Z79" s="5" t="s">
        <v>34</v>
      </c>
      <c r="AA79" s="19"/>
      <c r="AB79" s="5" t="s">
        <v>46</v>
      </c>
      <c r="AC79" s="5">
        <v>35</v>
      </c>
      <c r="AD79" s="5">
        <v>0</v>
      </c>
      <c r="AE79" s="5" t="s">
        <v>34</v>
      </c>
      <c r="AF79" s="5" t="s">
        <v>1481</v>
      </c>
      <c r="AG79" s="5" t="s">
        <v>46</v>
      </c>
      <c r="AH79" s="5">
        <v>35</v>
      </c>
      <c r="AI79" s="5" t="s">
        <v>34</v>
      </c>
      <c r="AJ79" s="5" t="s">
        <v>34</v>
      </c>
      <c r="AK79" s="19"/>
      <c r="AL79" s="5" t="s">
        <v>46</v>
      </c>
      <c r="AM79" s="5">
        <v>35</v>
      </c>
      <c r="AN79" s="5" t="s">
        <v>34</v>
      </c>
      <c r="AO79" s="5" t="s">
        <v>34</v>
      </c>
      <c r="AP79" s="19"/>
    </row>
    <row r="80" spans="1:42" ht="59.25" customHeight="1" x14ac:dyDescent="0.15">
      <c r="A80" s="5">
        <v>1703</v>
      </c>
      <c r="B80" s="21" t="s">
        <v>803</v>
      </c>
      <c r="C80" s="5" t="s">
        <v>814</v>
      </c>
      <c r="D80" s="5">
        <v>170799</v>
      </c>
      <c r="E80" s="19" t="s">
        <v>1482</v>
      </c>
      <c r="F80" s="19" t="s">
        <v>1483</v>
      </c>
      <c r="G80" s="5" t="s">
        <v>1484</v>
      </c>
      <c r="H80" s="5" t="s">
        <v>814</v>
      </c>
      <c r="I80" s="5">
        <v>170799</v>
      </c>
      <c r="J80" s="19" t="s">
        <v>34</v>
      </c>
      <c r="K80" s="19" t="s">
        <v>34</v>
      </c>
      <c r="L80" s="19"/>
      <c r="M80" s="5" t="s">
        <v>814</v>
      </c>
      <c r="N80" s="5">
        <v>170799</v>
      </c>
      <c r="O80" s="19" t="s">
        <v>34</v>
      </c>
      <c r="P80" s="19" t="s">
        <v>34</v>
      </c>
      <c r="Q80" s="19"/>
      <c r="R80" s="5" t="s">
        <v>814</v>
      </c>
      <c r="S80" s="5">
        <v>170799</v>
      </c>
      <c r="T80" s="19" t="s">
        <v>34</v>
      </c>
      <c r="U80" s="19" t="s">
        <v>34</v>
      </c>
      <c r="V80" s="19"/>
      <c r="W80" s="5" t="s">
        <v>814</v>
      </c>
      <c r="X80" s="5">
        <v>170799</v>
      </c>
      <c r="Y80" s="19" t="s">
        <v>34</v>
      </c>
      <c r="Z80" s="19" t="s">
        <v>34</v>
      </c>
      <c r="AA80" s="19"/>
      <c r="AB80" s="5" t="s">
        <v>814</v>
      </c>
      <c r="AC80" s="5">
        <v>170799</v>
      </c>
      <c r="AD80" s="19" t="s">
        <v>34</v>
      </c>
      <c r="AE80" s="19" t="s">
        <v>34</v>
      </c>
      <c r="AF80" s="19"/>
      <c r="AG80" s="5" t="s">
        <v>814</v>
      </c>
      <c r="AH80" s="5">
        <v>170799</v>
      </c>
      <c r="AI80" s="19" t="s">
        <v>34</v>
      </c>
      <c r="AJ80" s="19" t="s">
        <v>34</v>
      </c>
      <c r="AK80" s="19"/>
      <c r="AL80" s="5" t="s">
        <v>814</v>
      </c>
      <c r="AM80" s="5">
        <v>170799</v>
      </c>
      <c r="AN80" s="19" t="s">
        <v>34</v>
      </c>
      <c r="AO80" s="19" t="s">
        <v>34</v>
      </c>
      <c r="AP80" s="19"/>
    </row>
    <row r="81" spans="1:42" ht="15.75" customHeight="1" x14ac:dyDescent="0.15">
      <c r="A81" s="5">
        <v>1703</v>
      </c>
      <c r="B81" s="21" t="s">
        <v>803</v>
      </c>
      <c r="C81" s="5" t="s">
        <v>818</v>
      </c>
      <c r="D81" s="5">
        <v>4706</v>
      </c>
      <c r="E81" s="19" t="s">
        <v>1485</v>
      </c>
      <c r="F81" s="19" t="s">
        <v>34</v>
      </c>
      <c r="G81" s="19" t="s">
        <v>1486</v>
      </c>
      <c r="H81" s="5" t="s">
        <v>818</v>
      </c>
      <c r="I81" s="5">
        <v>4706</v>
      </c>
      <c r="J81" s="19" t="s">
        <v>34</v>
      </c>
      <c r="K81" s="19" t="s">
        <v>34</v>
      </c>
      <c r="L81" s="19"/>
      <c r="M81" s="5" t="s">
        <v>818</v>
      </c>
      <c r="N81" s="5">
        <v>4706</v>
      </c>
      <c r="O81" s="19" t="s">
        <v>34</v>
      </c>
      <c r="P81" s="19" t="s">
        <v>34</v>
      </c>
      <c r="Q81" s="19"/>
      <c r="R81" s="5" t="s">
        <v>818</v>
      </c>
      <c r="S81" s="5">
        <v>4706</v>
      </c>
      <c r="T81" s="19" t="s">
        <v>34</v>
      </c>
      <c r="U81" s="19" t="s">
        <v>34</v>
      </c>
      <c r="V81" s="19"/>
      <c r="W81" s="5" t="s">
        <v>818</v>
      </c>
      <c r="X81" s="5">
        <v>4706</v>
      </c>
      <c r="Y81" s="19" t="s">
        <v>34</v>
      </c>
      <c r="Z81" s="19" t="s">
        <v>34</v>
      </c>
      <c r="AA81" s="19"/>
      <c r="AB81" s="5" t="s">
        <v>818</v>
      </c>
      <c r="AC81" s="5">
        <v>4706</v>
      </c>
      <c r="AD81" s="19" t="s">
        <v>34</v>
      </c>
      <c r="AE81" s="19" t="s">
        <v>34</v>
      </c>
      <c r="AF81" s="19"/>
      <c r="AG81" s="5" t="s">
        <v>818</v>
      </c>
      <c r="AH81" s="5">
        <v>4706</v>
      </c>
      <c r="AI81" s="19" t="s">
        <v>34</v>
      </c>
      <c r="AJ81" s="19" t="s">
        <v>34</v>
      </c>
      <c r="AK81" s="19"/>
      <c r="AL81" s="5" t="s">
        <v>818</v>
      </c>
      <c r="AM81" s="5">
        <v>4706</v>
      </c>
      <c r="AN81" s="19" t="s">
        <v>34</v>
      </c>
      <c r="AO81" s="19" t="s">
        <v>34</v>
      </c>
      <c r="AP81" s="19"/>
    </row>
    <row r="82" spans="1:42" ht="15.75" customHeight="1" x14ac:dyDescent="0.15">
      <c r="A82" s="5">
        <v>1703</v>
      </c>
      <c r="B82" s="21" t="s">
        <v>803</v>
      </c>
      <c r="C82" s="5" t="s">
        <v>46</v>
      </c>
      <c r="D82" s="5">
        <v>88304</v>
      </c>
      <c r="E82" s="19" t="s">
        <v>1487</v>
      </c>
      <c r="F82" s="19" t="s">
        <v>34</v>
      </c>
      <c r="G82" s="19" t="s">
        <v>1488</v>
      </c>
      <c r="H82" s="5" t="s">
        <v>46</v>
      </c>
      <c r="I82" s="5">
        <v>88304</v>
      </c>
      <c r="J82" s="19" t="s">
        <v>34</v>
      </c>
      <c r="K82" s="19" t="s">
        <v>34</v>
      </c>
      <c r="L82" s="19"/>
      <c r="M82" s="5" t="s">
        <v>46</v>
      </c>
      <c r="N82" s="5">
        <v>88304</v>
      </c>
      <c r="O82" s="19" t="s">
        <v>34</v>
      </c>
      <c r="P82" s="19" t="s">
        <v>34</v>
      </c>
      <c r="Q82" s="19"/>
      <c r="R82" s="5" t="s">
        <v>46</v>
      </c>
      <c r="S82" s="5">
        <v>88304</v>
      </c>
      <c r="T82" s="19" t="s">
        <v>34</v>
      </c>
      <c r="U82" s="19" t="s">
        <v>34</v>
      </c>
      <c r="V82" s="19"/>
      <c r="W82" s="5" t="s">
        <v>46</v>
      </c>
      <c r="X82" s="5">
        <v>88304</v>
      </c>
      <c r="Y82" s="19" t="s">
        <v>34</v>
      </c>
      <c r="Z82" s="19" t="s">
        <v>34</v>
      </c>
      <c r="AA82" s="19"/>
      <c r="AB82" s="5" t="s">
        <v>46</v>
      </c>
      <c r="AC82" s="5">
        <v>88304</v>
      </c>
      <c r="AD82" s="19" t="s">
        <v>34</v>
      </c>
      <c r="AE82" s="19" t="s">
        <v>34</v>
      </c>
      <c r="AF82" s="19"/>
      <c r="AG82" s="5" t="s">
        <v>46</v>
      </c>
      <c r="AH82" s="5">
        <v>88304</v>
      </c>
      <c r="AI82" s="19" t="s">
        <v>34</v>
      </c>
      <c r="AJ82" s="19" t="s">
        <v>34</v>
      </c>
      <c r="AK82" s="19"/>
      <c r="AL82" s="5" t="s">
        <v>46</v>
      </c>
      <c r="AM82" s="5">
        <v>88304</v>
      </c>
      <c r="AN82" s="19" t="s">
        <v>34</v>
      </c>
      <c r="AO82" s="19" t="s">
        <v>34</v>
      </c>
      <c r="AP82" s="19"/>
    </row>
    <row r="83" spans="1:42" ht="15.75" customHeight="1" x14ac:dyDescent="0.15">
      <c r="A83" s="5">
        <v>507</v>
      </c>
      <c r="B83" s="5" t="s">
        <v>772</v>
      </c>
      <c r="C83" s="5" t="s">
        <v>33</v>
      </c>
      <c r="D83" s="5">
        <v>133</v>
      </c>
      <c r="E83" s="5" t="s">
        <v>34</v>
      </c>
      <c r="F83" s="19" t="s">
        <v>34</v>
      </c>
      <c r="G83" s="19"/>
      <c r="H83" s="5" t="s">
        <v>33</v>
      </c>
      <c r="I83" s="19"/>
      <c r="J83" s="5" t="s">
        <v>34</v>
      </c>
      <c r="K83" s="19"/>
      <c r="L83" s="19"/>
      <c r="M83" s="5" t="s">
        <v>33</v>
      </c>
      <c r="N83" s="19"/>
      <c r="O83" s="5" t="s">
        <v>34</v>
      </c>
      <c r="P83" s="19"/>
      <c r="Q83" s="19"/>
      <c r="R83" s="5" t="s">
        <v>33</v>
      </c>
      <c r="S83" s="5">
        <v>127</v>
      </c>
      <c r="T83" s="5" t="s">
        <v>1489</v>
      </c>
      <c r="U83" s="5" t="s">
        <v>1490</v>
      </c>
      <c r="V83" s="5" t="s">
        <v>1491</v>
      </c>
      <c r="W83" s="5" t="s">
        <v>33</v>
      </c>
      <c r="X83" s="19"/>
      <c r="Y83" s="5" t="s">
        <v>34</v>
      </c>
      <c r="Z83" s="19"/>
      <c r="AA83" s="19"/>
      <c r="AB83" s="5" t="s">
        <v>33</v>
      </c>
      <c r="AC83" s="5">
        <v>124</v>
      </c>
      <c r="AD83" s="5" t="s">
        <v>1492</v>
      </c>
      <c r="AE83" s="5" t="s">
        <v>1493</v>
      </c>
      <c r="AF83" s="5" t="s">
        <v>1491</v>
      </c>
      <c r="AG83" s="5" t="s">
        <v>33</v>
      </c>
      <c r="AH83" s="5">
        <v>114</v>
      </c>
      <c r="AI83" s="5" t="s">
        <v>1494</v>
      </c>
      <c r="AJ83" s="5" t="s">
        <v>1495</v>
      </c>
      <c r="AK83" s="5" t="s">
        <v>1491</v>
      </c>
      <c r="AL83" s="5" t="s">
        <v>33</v>
      </c>
      <c r="AM83" s="5">
        <v>63</v>
      </c>
      <c r="AN83" s="5" t="s">
        <v>1496</v>
      </c>
      <c r="AO83" s="5" t="s">
        <v>1497</v>
      </c>
      <c r="AP83" s="5" t="s">
        <v>1498</v>
      </c>
    </row>
    <row r="84" spans="1:42" ht="15.75" customHeight="1" x14ac:dyDescent="0.15">
      <c r="A84" s="5">
        <v>507</v>
      </c>
      <c r="B84" s="5" t="s">
        <v>772</v>
      </c>
      <c r="C84" s="5" t="s">
        <v>844</v>
      </c>
      <c r="D84" s="5">
        <v>67</v>
      </c>
      <c r="E84" s="19" t="s">
        <v>34</v>
      </c>
      <c r="F84" s="19" t="s">
        <v>34</v>
      </c>
      <c r="G84" s="19"/>
      <c r="H84" s="5" t="s">
        <v>844</v>
      </c>
      <c r="I84" s="19"/>
      <c r="J84" s="19" t="s">
        <v>34</v>
      </c>
      <c r="K84" s="19"/>
      <c r="L84" s="19"/>
      <c r="M84" s="5" t="s">
        <v>844</v>
      </c>
      <c r="N84" s="19"/>
      <c r="O84" s="19" t="s">
        <v>34</v>
      </c>
      <c r="P84" s="19"/>
      <c r="Q84" s="19"/>
      <c r="R84" s="5" t="s">
        <v>844</v>
      </c>
      <c r="S84" s="5">
        <v>64</v>
      </c>
      <c r="T84" s="5" t="s">
        <v>1499</v>
      </c>
      <c r="U84" s="19"/>
      <c r="V84" s="19"/>
      <c r="W84" s="5" t="s">
        <v>844</v>
      </c>
      <c r="X84" s="19"/>
      <c r="Y84" s="19" t="s">
        <v>34</v>
      </c>
      <c r="Z84" s="19"/>
      <c r="AA84" s="19"/>
      <c r="AB84" s="5" t="s">
        <v>844</v>
      </c>
      <c r="AC84" s="5">
        <v>64</v>
      </c>
      <c r="AD84" s="5" t="s">
        <v>1500</v>
      </c>
      <c r="AE84" s="19"/>
      <c r="AF84" s="19"/>
      <c r="AG84" s="5" t="s">
        <v>844</v>
      </c>
      <c r="AH84" s="5">
        <v>59</v>
      </c>
      <c r="AI84" s="5" t="s">
        <v>1501</v>
      </c>
      <c r="AJ84" s="19"/>
      <c r="AK84" s="19"/>
      <c r="AL84" s="5" t="s">
        <v>844</v>
      </c>
      <c r="AM84" s="5">
        <v>32</v>
      </c>
      <c r="AN84" s="5" t="s">
        <v>1502</v>
      </c>
      <c r="AO84" s="19"/>
      <c r="AP84" s="19"/>
    </row>
    <row r="85" spans="1:42" ht="15.75" customHeight="1" x14ac:dyDescent="0.15">
      <c r="A85" s="5">
        <v>2884</v>
      </c>
      <c r="B85" s="5" t="s">
        <v>848</v>
      </c>
      <c r="C85" s="5" t="s">
        <v>861</v>
      </c>
      <c r="D85" s="5">
        <v>40</v>
      </c>
      <c r="E85" s="5" t="s">
        <v>34</v>
      </c>
      <c r="F85" s="5" t="s">
        <v>34</v>
      </c>
      <c r="G85" s="19"/>
      <c r="H85" s="5" t="s">
        <v>861</v>
      </c>
      <c r="I85" s="5">
        <v>40</v>
      </c>
      <c r="J85" s="5" t="s">
        <v>34</v>
      </c>
      <c r="K85" s="5" t="s">
        <v>34</v>
      </c>
      <c r="L85" s="19"/>
      <c r="M85" s="5" t="s">
        <v>861</v>
      </c>
      <c r="N85" s="5">
        <v>40</v>
      </c>
      <c r="O85" s="5" t="s">
        <v>34</v>
      </c>
      <c r="P85" s="5" t="s">
        <v>34</v>
      </c>
      <c r="Q85" s="19"/>
      <c r="R85" s="5" t="s">
        <v>861</v>
      </c>
      <c r="S85" s="5">
        <v>40</v>
      </c>
      <c r="T85" s="5" t="s">
        <v>1503</v>
      </c>
      <c r="U85" s="5" t="s">
        <v>1504</v>
      </c>
      <c r="V85" s="5" t="s">
        <v>1505</v>
      </c>
      <c r="W85" s="5" t="s">
        <v>861</v>
      </c>
      <c r="X85" s="5">
        <v>40</v>
      </c>
      <c r="Y85" s="5" t="s">
        <v>34</v>
      </c>
      <c r="Z85" s="5" t="s">
        <v>34</v>
      </c>
      <c r="AA85" s="19"/>
      <c r="AB85" s="5" t="s">
        <v>861</v>
      </c>
      <c r="AC85" s="5">
        <v>40</v>
      </c>
      <c r="AD85" s="5" t="s">
        <v>1506</v>
      </c>
      <c r="AE85" s="5" t="s">
        <v>1507</v>
      </c>
      <c r="AF85" s="5" t="s">
        <v>1505</v>
      </c>
      <c r="AG85" s="5" t="s">
        <v>861</v>
      </c>
      <c r="AH85" s="5">
        <v>40</v>
      </c>
      <c r="AI85" s="5" t="s">
        <v>34</v>
      </c>
      <c r="AJ85" s="5" t="s">
        <v>34</v>
      </c>
      <c r="AK85" s="19"/>
      <c r="AL85" s="5" t="s">
        <v>861</v>
      </c>
      <c r="AM85" s="5">
        <v>40</v>
      </c>
      <c r="AN85" s="5" t="s">
        <v>1508</v>
      </c>
      <c r="AO85" s="5" t="s">
        <v>34</v>
      </c>
      <c r="AP85" s="5" t="s">
        <v>1509</v>
      </c>
    </row>
    <row r="86" spans="1:42" ht="15.75" customHeight="1" x14ac:dyDescent="0.15">
      <c r="A86" s="5">
        <v>2884</v>
      </c>
      <c r="B86" s="5" t="s">
        <v>848</v>
      </c>
      <c r="C86" s="5" t="s">
        <v>867</v>
      </c>
      <c r="D86" s="5">
        <v>50</v>
      </c>
      <c r="E86" s="5" t="s">
        <v>34</v>
      </c>
      <c r="F86" s="5" t="s">
        <v>34</v>
      </c>
      <c r="G86" s="19"/>
      <c r="H86" s="5" t="s">
        <v>867</v>
      </c>
      <c r="I86" s="5">
        <v>50</v>
      </c>
      <c r="J86" s="5" t="s">
        <v>34</v>
      </c>
      <c r="K86" s="5" t="s">
        <v>34</v>
      </c>
      <c r="L86" s="19"/>
      <c r="M86" s="5" t="s">
        <v>867</v>
      </c>
      <c r="N86" s="5">
        <v>50</v>
      </c>
      <c r="O86" s="5" t="s">
        <v>34</v>
      </c>
      <c r="P86" s="5" t="s">
        <v>34</v>
      </c>
      <c r="Q86" s="19"/>
      <c r="R86" s="5" t="s">
        <v>867</v>
      </c>
      <c r="S86" s="5">
        <v>50</v>
      </c>
      <c r="T86" s="5" t="s">
        <v>1510</v>
      </c>
      <c r="U86" s="5" t="s">
        <v>1511</v>
      </c>
      <c r="V86" s="5" t="s">
        <v>1512</v>
      </c>
      <c r="W86" s="5" t="s">
        <v>867</v>
      </c>
      <c r="X86" s="5">
        <v>50</v>
      </c>
      <c r="Y86" s="5" t="s">
        <v>34</v>
      </c>
      <c r="Z86" s="5" t="s">
        <v>34</v>
      </c>
      <c r="AA86" s="19"/>
      <c r="AB86" s="5" t="s">
        <v>867</v>
      </c>
      <c r="AC86" s="5">
        <v>50</v>
      </c>
      <c r="AD86" s="5" t="s">
        <v>1513</v>
      </c>
      <c r="AE86" s="5" t="s">
        <v>1514</v>
      </c>
      <c r="AF86" s="5" t="s">
        <v>1512</v>
      </c>
      <c r="AG86" s="5" t="s">
        <v>867</v>
      </c>
      <c r="AH86" s="5">
        <v>50</v>
      </c>
      <c r="AI86" s="5" t="s">
        <v>34</v>
      </c>
      <c r="AJ86" s="5" t="s">
        <v>34</v>
      </c>
      <c r="AK86" s="19"/>
      <c r="AL86" s="5" t="s">
        <v>867</v>
      </c>
      <c r="AM86" s="5">
        <v>50</v>
      </c>
      <c r="AN86" s="5" t="s">
        <v>1515</v>
      </c>
      <c r="AO86" s="5" t="s">
        <v>34</v>
      </c>
      <c r="AP86" s="19"/>
    </row>
    <row r="87" spans="1:42" ht="15.75" customHeight="1" x14ac:dyDescent="0.15">
      <c r="A87" s="5">
        <v>2884</v>
      </c>
      <c r="B87" s="5" t="s">
        <v>848</v>
      </c>
      <c r="C87" s="5" t="s">
        <v>871</v>
      </c>
      <c r="D87" s="5">
        <v>41</v>
      </c>
      <c r="E87" s="5" t="s">
        <v>34</v>
      </c>
      <c r="F87" s="5" t="s">
        <v>34</v>
      </c>
      <c r="G87" s="19"/>
      <c r="H87" s="5" t="s">
        <v>871</v>
      </c>
      <c r="I87" s="5">
        <v>41</v>
      </c>
      <c r="J87" s="5" t="s">
        <v>34</v>
      </c>
      <c r="K87" s="5" t="s">
        <v>34</v>
      </c>
      <c r="L87" s="19"/>
      <c r="M87" s="5" t="s">
        <v>871</v>
      </c>
      <c r="N87" s="5">
        <v>41</v>
      </c>
      <c r="O87" s="5" t="s">
        <v>34</v>
      </c>
      <c r="P87" s="5" t="s">
        <v>34</v>
      </c>
      <c r="Q87" s="19"/>
      <c r="R87" s="5" t="s">
        <v>871</v>
      </c>
      <c r="S87" s="5">
        <v>41</v>
      </c>
      <c r="T87" s="5" t="s">
        <v>1516</v>
      </c>
      <c r="U87" s="5" t="s">
        <v>1504</v>
      </c>
      <c r="V87" s="5" t="s">
        <v>1505</v>
      </c>
      <c r="W87" s="5" t="s">
        <v>871</v>
      </c>
      <c r="X87" s="5">
        <v>41</v>
      </c>
      <c r="Y87" s="5" t="s">
        <v>34</v>
      </c>
      <c r="Z87" s="5" t="s">
        <v>34</v>
      </c>
      <c r="AA87" s="19"/>
      <c r="AB87" s="5" t="s">
        <v>871</v>
      </c>
      <c r="AC87" s="5">
        <v>41</v>
      </c>
      <c r="AD87" s="5" t="s">
        <v>1517</v>
      </c>
      <c r="AE87" s="5" t="s">
        <v>1507</v>
      </c>
      <c r="AF87" s="5" t="s">
        <v>1505</v>
      </c>
      <c r="AG87" s="5" t="s">
        <v>871</v>
      </c>
      <c r="AH87" s="5">
        <v>41</v>
      </c>
      <c r="AI87" s="5" t="s">
        <v>34</v>
      </c>
      <c r="AJ87" s="5" t="s">
        <v>34</v>
      </c>
      <c r="AK87" s="19"/>
      <c r="AL87" s="5" t="s">
        <v>871</v>
      </c>
      <c r="AM87" s="5">
        <v>41</v>
      </c>
      <c r="AN87" s="5" t="s">
        <v>1518</v>
      </c>
      <c r="AO87" s="5" t="s">
        <v>34</v>
      </c>
      <c r="AP87" s="19"/>
    </row>
    <row r="88" spans="1:42" ht="15.75" customHeight="1" x14ac:dyDescent="0.15">
      <c r="A88" s="5">
        <v>2884</v>
      </c>
      <c r="B88" s="5" t="s">
        <v>848</v>
      </c>
      <c r="C88" s="5" t="s">
        <v>876</v>
      </c>
      <c r="D88" s="5">
        <v>50</v>
      </c>
      <c r="E88" s="5" t="s">
        <v>34</v>
      </c>
      <c r="F88" s="5" t="s">
        <v>34</v>
      </c>
      <c r="G88" s="19"/>
      <c r="H88" s="5" t="s">
        <v>876</v>
      </c>
      <c r="I88" s="5">
        <v>50</v>
      </c>
      <c r="J88" s="5" t="s">
        <v>34</v>
      </c>
      <c r="K88" s="5" t="s">
        <v>34</v>
      </c>
      <c r="L88" s="19"/>
      <c r="M88" s="5" t="s">
        <v>876</v>
      </c>
      <c r="N88" s="5">
        <v>50</v>
      </c>
      <c r="O88" s="5" t="s">
        <v>34</v>
      </c>
      <c r="P88" s="5" t="s">
        <v>34</v>
      </c>
      <c r="Q88" s="19"/>
      <c r="R88" s="5" t="s">
        <v>876</v>
      </c>
      <c r="S88" s="5">
        <v>50</v>
      </c>
      <c r="T88" s="5" t="s">
        <v>1519</v>
      </c>
      <c r="U88" s="5" t="s">
        <v>1511</v>
      </c>
      <c r="V88" s="5" t="s">
        <v>1512</v>
      </c>
      <c r="W88" s="5" t="s">
        <v>876</v>
      </c>
      <c r="X88" s="5">
        <v>50</v>
      </c>
      <c r="Y88" s="5" t="s">
        <v>34</v>
      </c>
      <c r="Z88" s="5" t="s">
        <v>34</v>
      </c>
      <c r="AA88" s="19"/>
      <c r="AB88" s="5" t="s">
        <v>876</v>
      </c>
      <c r="AC88" s="5">
        <v>50</v>
      </c>
      <c r="AD88" s="5" t="s">
        <v>1520</v>
      </c>
      <c r="AE88" s="5" t="s">
        <v>1514</v>
      </c>
      <c r="AF88" s="5" t="s">
        <v>1512</v>
      </c>
      <c r="AG88" s="5" t="s">
        <v>876</v>
      </c>
      <c r="AH88" s="5">
        <v>50</v>
      </c>
      <c r="AI88" s="5" t="s">
        <v>34</v>
      </c>
      <c r="AJ88" s="5" t="s">
        <v>34</v>
      </c>
      <c r="AK88" s="19"/>
      <c r="AL88" s="5" t="s">
        <v>876</v>
      </c>
      <c r="AM88" s="5">
        <v>50</v>
      </c>
      <c r="AN88" s="5" t="s">
        <v>1521</v>
      </c>
      <c r="AO88" s="5" t="s">
        <v>34</v>
      </c>
      <c r="AP88" s="19"/>
    </row>
    <row r="89" spans="1:42" ht="15.75" customHeight="1" x14ac:dyDescent="0.15">
      <c r="A89" s="19">
        <v>1868</v>
      </c>
      <c r="B89" s="19" t="s">
        <v>880</v>
      </c>
      <c r="C89" s="5" t="s">
        <v>33</v>
      </c>
      <c r="D89" s="5">
        <v>77</v>
      </c>
      <c r="E89" s="19" t="s">
        <v>34</v>
      </c>
      <c r="F89" s="19" t="s">
        <v>34</v>
      </c>
      <c r="G89" s="19"/>
      <c r="H89" s="5" t="s">
        <v>33</v>
      </c>
      <c r="I89" s="5">
        <v>77</v>
      </c>
      <c r="J89" s="19" t="s">
        <v>34</v>
      </c>
      <c r="K89" s="19" t="s">
        <v>34</v>
      </c>
      <c r="L89" s="19"/>
      <c r="M89" s="5" t="s">
        <v>33</v>
      </c>
      <c r="N89" s="5">
        <v>77</v>
      </c>
      <c r="O89" s="19" t="s">
        <v>34</v>
      </c>
      <c r="P89" s="19" t="s">
        <v>34</v>
      </c>
      <c r="Q89" s="19"/>
      <c r="R89" s="5" t="s">
        <v>33</v>
      </c>
      <c r="S89" s="5">
        <v>51</v>
      </c>
      <c r="T89" s="19" t="s">
        <v>34</v>
      </c>
      <c r="U89" s="19" t="s">
        <v>34</v>
      </c>
      <c r="V89" s="5" t="s">
        <v>1522</v>
      </c>
      <c r="W89" s="5" t="s">
        <v>33</v>
      </c>
      <c r="X89" s="19">
        <v>77</v>
      </c>
      <c r="Y89" s="19" t="s">
        <v>34</v>
      </c>
      <c r="Z89" s="19" t="s">
        <v>34</v>
      </c>
      <c r="AA89" s="19"/>
      <c r="AB89" s="5" t="s">
        <v>33</v>
      </c>
      <c r="AC89" s="19" t="s">
        <v>34</v>
      </c>
      <c r="AD89" s="19" t="s">
        <v>34</v>
      </c>
      <c r="AE89" s="19" t="s">
        <v>34</v>
      </c>
      <c r="AF89" s="19"/>
      <c r="AG89" s="5" t="s">
        <v>33</v>
      </c>
      <c r="AH89" s="19" t="s">
        <v>1523</v>
      </c>
      <c r="AI89" s="19" t="s">
        <v>1524</v>
      </c>
      <c r="AJ89" s="19" t="s">
        <v>1525</v>
      </c>
      <c r="AK89" s="19" t="s">
        <v>1526</v>
      </c>
      <c r="AL89" s="5" t="s">
        <v>33</v>
      </c>
      <c r="AM89" s="19">
        <v>62</v>
      </c>
      <c r="AN89" s="19" t="s">
        <v>1527</v>
      </c>
      <c r="AO89" s="19" t="s">
        <v>1528</v>
      </c>
      <c r="AP89" s="19" t="s">
        <v>1529</v>
      </c>
    </row>
    <row r="90" spans="1:42" ht="15.75" customHeight="1" x14ac:dyDescent="0.15">
      <c r="A90" s="19">
        <v>1868</v>
      </c>
      <c r="B90" s="19" t="s">
        <v>880</v>
      </c>
      <c r="C90" s="5" t="s">
        <v>46</v>
      </c>
      <c r="D90" s="5">
        <v>25</v>
      </c>
      <c r="E90" s="19" t="s">
        <v>34</v>
      </c>
      <c r="F90" s="19" t="s">
        <v>34</v>
      </c>
      <c r="G90" s="19"/>
      <c r="H90" s="5" t="s">
        <v>46</v>
      </c>
      <c r="I90" s="5">
        <v>25</v>
      </c>
      <c r="J90" s="19" t="s">
        <v>34</v>
      </c>
      <c r="K90" s="19" t="s">
        <v>34</v>
      </c>
      <c r="L90" s="19"/>
      <c r="M90" s="5" t="s">
        <v>46</v>
      </c>
      <c r="N90" s="5">
        <v>25</v>
      </c>
      <c r="O90" s="19" t="s">
        <v>34</v>
      </c>
      <c r="P90" s="19" t="s">
        <v>34</v>
      </c>
      <c r="Q90" s="19"/>
      <c r="R90" s="5" t="s">
        <v>46</v>
      </c>
      <c r="S90" s="5" t="s">
        <v>34</v>
      </c>
      <c r="T90" s="19" t="s">
        <v>34</v>
      </c>
      <c r="U90" s="19" t="s">
        <v>34</v>
      </c>
      <c r="V90" s="19"/>
      <c r="W90" s="5" t="s">
        <v>46</v>
      </c>
      <c r="X90" s="19">
        <v>25</v>
      </c>
      <c r="Y90" s="19" t="s">
        <v>34</v>
      </c>
      <c r="Z90" s="19" t="s">
        <v>34</v>
      </c>
      <c r="AA90" s="19"/>
      <c r="AB90" s="5" t="s">
        <v>46</v>
      </c>
      <c r="AC90" s="19" t="s">
        <v>34</v>
      </c>
      <c r="AD90" s="19" t="s">
        <v>34</v>
      </c>
      <c r="AE90" s="19" t="s">
        <v>55</v>
      </c>
      <c r="AF90" s="19"/>
      <c r="AG90" s="5" t="s">
        <v>46</v>
      </c>
      <c r="AH90" s="19">
        <v>27</v>
      </c>
      <c r="AI90" s="19" t="s">
        <v>1530</v>
      </c>
      <c r="AJ90" s="19" t="s">
        <v>55</v>
      </c>
      <c r="AK90" s="19"/>
      <c r="AL90" s="5" t="s">
        <v>46</v>
      </c>
      <c r="AM90" s="19" t="s">
        <v>1531</v>
      </c>
      <c r="AN90" s="19" t="s">
        <v>1532</v>
      </c>
      <c r="AO90" s="19" t="s">
        <v>55</v>
      </c>
      <c r="AP90" s="19" t="s">
        <v>1533</v>
      </c>
    </row>
    <row r="91" spans="1:42" ht="15.75" customHeight="1" x14ac:dyDescent="0.15">
      <c r="A91" s="5">
        <v>2785</v>
      </c>
      <c r="B91" s="5" t="s">
        <v>956</v>
      </c>
      <c r="C91" s="5" t="s">
        <v>33</v>
      </c>
      <c r="D91" s="22">
        <v>53448</v>
      </c>
      <c r="E91" s="5" t="s">
        <v>34</v>
      </c>
      <c r="F91" s="5" t="s">
        <v>34</v>
      </c>
      <c r="G91" s="19"/>
      <c r="H91" s="5" t="s">
        <v>33</v>
      </c>
      <c r="I91" s="22">
        <v>53448</v>
      </c>
      <c r="J91" s="5" t="s">
        <v>34</v>
      </c>
      <c r="K91" s="5" t="s">
        <v>1534</v>
      </c>
      <c r="L91" s="5" t="s">
        <v>1535</v>
      </c>
      <c r="M91" s="5" t="s">
        <v>33</v>
      </c>
      <c r="N91" s="22">
        <v>53448</v>
      </c>
      <c r="O91" s="5" t="s">
        <v>34</v>
      </c>
      <c r="P91" s="5" t="s">
        <v>34</v>
      </c>
      <c r="Q91" s="19"/>
      <c r="R91" s="5" t="s">
        <v>33</v>
      </c>
      <c r="S91" s="22">
        <v>53448</v>
      </c>
      <c r="T91" s="5" t="s">
        <v>34</v>
      </c>
      <c r="U91" s="5" t="s">
        <v>34</v>
      </c>
      <c r="V91" s="19"/>
      <c r="W91" s="5" t="s">
        <v>33</v>
      </c>
      <c r="X91" s="22">
        <v>53448</v>
      </c>
      <c r="Y91" s="5" t="s">
        <v>34</v>
      </c>
      <c r="Z91" s="5" t="s">
        <v>34</v>
      </c>
      <c r="AA91" s="19"/>
      <c r="AB91" s="5" t="s">
        <v>33</v>
      </c>
      <c r="AC91" s="22">
        <v>53448</v>
      </c>
      <c r="AD91" s="5" t="s">
        <v>34</v>
      </c>
      <c r="AE91" s="5" t="s">
        <v>34</v>
      </c>
      <c r="AF91" s="19"/>
      <c r="AG91" s="5" t="s">
        <v>33</v>
      </c>
      <c r="AH91" s="22">
        <v>53448</v>
      </c>
      <c r="AI91" s="5" t="s">
        <v>34</v>
      </c>
      <c r="AJ91" s="5" t="s">
        <v>34</v>
      </c>
      <c r="AK91" s="19"/>
      <c r="AL91" s="5" t="s">
        <v>33</v>
      </c>
      <c r="AM91" s="22">
        <v>53448</v>
      </c>
      <c r="AN91" s="5" t="s">
        <v>34</v>
      </c>
      <c r="AO91" s="5" t="s">
        <v>34</v>
      </c>
      <c r="AP91" s="19"/>
    </row>
    <row r="92" spans="1:42" ht="15.75" customHeight="1" x14ac:dyDescent="0.15">
      <c r="A92" s="5">
        <v>2785</v>
      </c>
      <c r="B92" s="5" t="s">
        <v>956</v>
      </c>
      <c r="C92" s="5" t="s">
        <v>46</v>
      </c>
      <c r="D92" s="22">
        <v>53448</v>
      </c>
      <c r="E92" s="5" t="s">
        <v>34</v>
      </c>
      <c r="F92" s="5" t="s">
        <v>34</v>
      </c>
      <c r="G92" s="19"/>
      <c r="H92" s="5" t="s">
        <v>46</v>
      </c>
      <c r="I92" s="22">
        <v>53448</v>
      </c>
      <c r="J92" s="5" t="s">
        <v>34</v>
      </c>
      <c r="K92" s="5" t="s">
        <v>1534</v>
      </c>
      <c r="L92" s="19"/>
      <c r="M92" s="5" t="s">
        <v>46</v>
      </c>
      <c r="N92" s="22">
        <v>53448</v>
      </c>
      <c r="O92" s="5" t="s">
        <v>34</v>
      </c>
      <c r="P92" s="5" t="s">
        <v>34</v>
      </c>
      <c r="Q92" s="19"/>
      <c r="R92" s="5" t="s">
        <v>46</v>
      </c>
      <c r="S92" s="22">
        <v>53448</v>
      </c>
      <c r="T92" s="5" t="s">
        <v>34</v>
      </c>
      <c r="U92" s="5" t="s">
        <v>34</v>
      </c>
      <c r="V92" s="19"/>
      <c r="W92" s="5" t="s">
        <v>46</v>
      </c>
      <c r="X92" s="22">
        <v>53448</v>
      </c>
      <c r="Y92" s="5" t="s">
        <v>34</v>
      </c>
      <c r="Z92" s="5" t="s">
        <v>34</v>
      </c>
      <c r="AA92" s="19"/>
      <c r="AB92" s="5" t="s">
        <v>46</v>
      </c>
      <c r="AC92" s="22">
        <v>53448</v>
      </c>
      <c r="AD92" s="5" t="s">
        <v>34</v>
      </c>
      <c r="AE92" s="5" t="s">
        <v>34</v>
      </c>
      <c r="AF92" s="19"/>
      <c r="AG92" s="5" t="s">
        <v>46</v>
      </c>
      <c r="AH92" s="22">
        <v>53448</v>
      </c>
      <c r="AI92" s="5" t="s">
        <v>34</v>
      </c>
      <c r="AJ92" s="5" t="s">
        <v>34</v>
      </c>
      <c r="AK92" s="19"/>
      <c r="AL92" s="5" t="s">
        <v>46</v>
      </c>
      <c r="AM92" s="22">
        <v>53448</v>
      </c>
      <c r="AN92" s="5" t="s">
        <v>34</v>
      </c>
      <c r="AO92" s="5" t="s">
        <v>34</v>
      </c>
      <c r="AP92" s="19"/>
    </row>
    <row r="93" spans="1:42" ht="33.75" customHeight="1" x14ac:dyDescent="0.15">
      <c r="A93" s="19">
        <v>11282</v>
      </c>
      <c r="B93" s="19" t="s">
        <v>1151</v>
      </c>
      <c r="C93" s="19" t="s">
        <v>33</v>
      </c>
      <c r="D93" s="5">
        <v>25</v>
      </c>
      <c r="E93" s="5" t="s">
        <v>34</v>
      </c>
      <c r="F93" s="5" t="s">
        <v>34</v>
      </c>
      <c r="G93" s="19"/>
      <c r="H93" s="19" t="s">
        <v>33</v>
      </c>
      <c r="I93" s="5">
        <v>25</v>
      </c>
      <c r="J93" s="5">
        <v>11</v>
      </c>
      <c r="K93" s="5" t="s">
        <v>1536</v>
      </c>
      <c r="L93" s="5" t="s">
        <v>1537</v>
      </c>
      <c r="M93" s="19" t="s">
        <v>33</v>
      </c>
      <c r="N93" s="5">
        <v>25</v>
      </c>
      <c r="O93" s="5" t="s">
        <v>34</v>
      </c>
      <c r="P93" s="5" t="s">
        <v>34</v>
      </c>
      <c r="Q93" s="19"/>
      <c r="R93" s="19" t="s">
        <v>33</v>
      </c>
      <c r="S93" s="5">
        <v>25</v>
      </c>
      <c r="T93" s="5" t="s">
        <v>34</v>
      </c>
      <c r="U93" s="5" t="s">
        <v>34</v>
      </c>
      <c r="V93" s="19"/>
      <c r="W93" s="19" t="s">
        <v>33</v>
      </c>
      <c r="X93" s="5">
        <v>25</v>
      </c>
      <c r="Y93" s="5" t="s">
        <v>34</v>
      </c>
      <c r="Z93" s="5" t="s">
        <v>34</v>
      </c>
      <c r="AA93" s="19"/>
      <c r="AB93" s="19" t="s">
        <v>33</v>
      </c>
      <c r="AC93" s="5">
        <v>25</v>
      </c>
      <c r="AD93" s="5" t="s">
        <v>34</v>
      </c>
      <c r="AE93" s="5" t="s">
        <v>34</v>
      </c>
      <c r="AF93" s="19"/>
      <c r="AG93" s="19" t="s">
        <v>33</v>
      </c>
      <c r="AH93" s="5">
        <v>25</v>
      </c>
      <c r="AI93" s="5" t="s">
        <v>34</v>
      </c>
      <c r="AJ93" s="5" t="s">
        <v>34</v>
      </c>
      <c r="AK93" s="19"/>
      <c r="AL93" s="19" t="s">
        <v>33</v>
      </c>
      <c r="AM93" s="5">
        <v>25</v>
      </c>
      <c r="AN93" s="5" t="s">
        <v>34</v>
      </c>
      <c r="AO93" s="5" t="s">
        <v>34</v>
      </c>
      <c r="AP93" s="19"/>
    </row>
    <row r="94" spans="1:42" ht="15.75" customHeight="1" x14ac:dyDescent="0.15">
      <c r="A94" s="19">
        <v>11282</v>
      </c>
      <c r="B94" s="19" t="s">
        <v>1151</v>
      </c>
      <c r="C94" s="19" t="s">
        <v>46</v>
      </c>
      <c r="D94" s="19">
        <v>71</v>
      </c>
      <c r="E94" s="5" t="s">
        <v>34</v>
      </c>
      <c r="F94" s="5" t="s">
        <v>34</v>
      </c>
      <c r="G94" s="19"/>
      <c r="H94" s="19" t="s">
        <v>46</v>
      </c>
      <c r="I94" s="19">
        <v>71</v>
      </c>
      <c r="J94" s="5" t="s">
        <v>1538</v>
      </c>
      <c r="K94" s="5" t="s">
        <v>34</v>
      </c>
      <c r="L94" s="19" t="s">
        <v>1539</v>
      </c>
      <c r="M94" s="19" t="s">
        <v>46</v>
      </c>
      <c r="N94" s="19">
        <v>71</v>
      </c>
      <c r="O94" s="5" t="s">
        <v>34</v>
      </c>
      <c r="P94" s="5" t="s">
        <v>34</v>
      </c>
      <c r="Q94" s="19"/>
      <c r="R94" s="19" t="s">
        <v>46</v>
      </c>
      <c r="S94" s="19">
        <v>71</v>
      </c>
      <c r="T94" s="5" t="s">
        <v>34</v>
      </c>
      <c r="U94" s="5" t="s">
        <v>34</v>
      </c>
      <c r="V94" s="19"/>
      <c r="W94" s="19" t="s">
        <v>46</v>
      </c>
      <c r="X94" s="19">
        <v>71</v>
      </c>
      <c r="Y94" s="5" t="s">
        <v>34</v>
      </c>
      <c r="Z94" s="5" t="s">
        <v>34</v>
      </c>
      <c r="AA94" s="19"/>
      <c r="AB94" s="19" t="s">
        <v>46</v>
      </c>
      <c r="AC94" s="19">
        <v>71</v>
      </c>
      <c r="AD94" s="5" t="s">
        <v>34</v>
      </c>
      <c r="AE94" s="5" t="s">
        <v>34</v>
      </c>
      <c r="AF94" s="19"/>
      <c r="AG94" s="19" t="s">
        <v>46</v>
      </c>
      <c r="AH94" s="19">
        <v>71</v>
      </c>
      <c r="AI94" s="5" t="s">
        <v>34</v>
      </c>
      <c r="AJ94" s="5" t="s">
        <v>34</v>
      </c>
      <c r="AK94" s="19"/>
      <c r="AL94" s="19" t="s">
        <v>46</v>
      </c>
      <c r="AM94" s="19">
        <v>71</v>
      </c>
      <c r="AN94" s="5" t="s">
        <v>34</v>
      </c>
      <c r="AO94" s="5" t="s">
        <v>34</v>
      </c>
      <c r="AP94" s="19"/>
    </row>
    <row r="95" spans="1:42" ht="15.75" customHeight="1" x14ac:dyDescent="0.15">
      <c r="A95" s="5">
        <v>3738</v>
      </c>
      <c r="B95" s="21" t="s">
        <v>1180</v>
      </c>
      <c r="C95" s="5" t="s">
        <v>33</v>
      </c>
      <c r="D95" s="19">
        <v>2</v>
      </c>
      <c r="E95" s="19" t="s">
        <v>55</v>
      </c>
      <c r="F95" s="19" t="s">
        <v>1540</v>
      </c>
      <c r="G95" s="5" t="s">
        <v>1541</v>
      </c>
      <c r="H95" s="5" t="str">
        <f t="shared" ref="H95:I95" si="26">C95</f>
        <v>Tdap</v>
      </c>
      <c r="I95" s="19">
        <f t="shared" si="26"/>
        <v>2</v>
      </c>
      <c r="J95" s="19" t="s">
        <v>34</v>
      </c>
      <c r="K95" s="19" t="s">
        <v>34</v>
      </c>
      <c r="L95" s="19"/>
      <c r="M95" s="5" t="str">
        <f t="shared" ref="M95:N95" si="27">H95</f>
        <v>Tdap</v>
      </c>
      <c r="N95" s="19">
        <f t="shared" si="27"/>
        <v>2</v>
      </c>
      <c r="O95" s="19">
        <v>0</v>
      </c>
      <c r="P95" s="19" t="s">
        <v>1542</v>
      </c>
      <c r="Q95" s="19" t="s">
        <v>1543</v>
      </c>
      <c r="R95" s="5" t="str">
        <f t="shared" ref="R95:S95" si="28">M95</f>
        <v>Tdap</v>
      </c>
      <c r="S95" s="19">
        <f t="shared" si="28"/>
        <v>2</v>
      </c>
      <c r="T95" s="19" t="s">
        <v>34</v>
      </c>
      <c r="U95" s="19" t="s">
        <v>34</v>
      </c>
      <c r="V95" s="19"/>
      <c r="W95" s="5" t="str">
        <f t="shared" ref="W95:X95" si="29">R95</f>
        <v>Tdap</v>
      </c>
      <c r="X95" s="19">
        <f t="shared" si="29"/>
        <v>2</v>
      </c>
      <c r="Y95" s="19" t="s">
        <v>34</v>
      </c>
      <c r="Z95" s="19" t="s">
        <v>34</v>
      </c>
      <c r="AA95" s="19"/>
      <c r="AB95" s="5" t="str">
        <f t="shared" ref="AB95:AC95" si="30">W95</f>
        <v>Tdap</v>
      </c>
      <c r="AC95" s="19">
        <f t="shared" si="30"/>
        <v>2</v>
      </c>
      <c r="AD95" s="19" t="s">
        <v>34</v>
      </c>
      <c r="AE95" s="19" t="s">
        <v>34</v>
      </c>
      <c r="AF95" s="19"/>
      <c r="AG95" s="5" t="str">
        <f t="shared" ref="AG95:AH95" si="31">AB95</f>
        <v>Tdap</v>
      </c>
      <c r="AH95" s="19">
        <f t="shared" si="31"/>
        <v>2</v>
      </c>
      <c r="AI95" s="19" t="s">
        <v>34</v>
      </c>
      <c r="AJ95" s="19" t="s">
        <v>34</v>
      </c>
      <c r="AK95" s="19"/>
      <c r="AL95" s="5" t="str">
        <f t="shared" ref="AL95:AM95" si="32">AG95</f>
        <v>Tdap</v>
      </c>
      <c r="AM95" s="19">
        <f t="shared" si="32"/>
        <v>2</v>
      </c>
      <c r="AN95" s="19" t="s">
        <v>34</v>
      </c>
      <c r="AO95" s="19" t="s">
        <v>34</v>
      </c>
      <c r="AP95" s="19"/>
    </row>
    <row r="96" spans="1:42" ht="15.75" customHeight="1" x14ac:dyDescent="0.15">
      <c r="A96" s="5">
        <v>3738</v>
      </c>
      <c r="B96" s="21" t="s">
        <v>1180</v>
      </c>
      <c r="C96" s="5" t="s">
        <v>46</v>
      </c>
      <c r="D96" s="19">
        <v>6</v>
      </c>
      <c r="E96" s="19" t="s">
        <v>55</v>
      </c>
      <c r="F96" s="19"/>
      <c r="G96" s="19"/>
      <c r="H96" s="5" t="str">
        <f t="shared" ref="H96:I96" si="33">C96</f>
        <v>No Tdap</v>
      </c>
      <c r="I96" s="19">
        <f t="shared" si="33"/>
        <v>6</v>
      </c>
      <c r="J96" s="19" t="s">
        <v>34</v>
      </c>
      <c r="K96" s="19" t="s">
        <v>34</v>
      </c>
      <c r="L96" s="19"/>
      <c r="M96" s="5" t="str">
        <f t="shared" ref="M96:N96" si="34">H96</f>
        <v>No Tdap</v>
      </c>
      <c r="N96" s="19">
        <f t="shared" si="34"/>
        <v>6</v>
      </c>
      <c r="O96" s="19">
        <v>0</v>
      </c>
      <c r="P96" s="19"/>
      <c r="Q96" s="19" t="s">
        <v>1544</v>
      </c>
      <c r="R96" s="5" t="str">
        <f t="shared" ref="R96:S96" si="35">M96</f>
        <v>No Tdap</v>
      </c>
      <c r="S96" s="19">
        <f t="shared" si="35"/>
        <v>6</v>
      </c>
      <c r="T96" s="19" t="s">
        <v>34</v>
      </c>
      <c r="U96" s="19" t="s">
        <v>34</v>
      </c>
      <c r="V96" s="19"/>
      <c r="W96" s="5" t="str">
        <f t="shared" ref="W96:X96" si="36">R96</f>
        <v>No Tdap</v>
      </c>
      <c r="X96" s="19">
        <f t="shared" si="36"/>
        <v>6</v>
      </c>
      <c r="Y96" s="19" t="s">
        <v>34</v>
      </c>
      <c r="Z96" s="19" t="s">
        <v>34</v>
      </c>
      <c r="AA96" s="19"/>
      <c r="AB96" s="5" t="str">
        <f t="shared" ref="AB96:AC96" si="37">W96</f>
        <v>No Tdap</v>
      </c>
      <c r="AC96" s="19">
        <f t="shared" si="37"/>
        <v>6</v>
      </c>
      <c r="AD96" s="19" t="s">
        <v>34</v>
      </c>
      <c r="AE96" s="19" t="s">
        <v>34</v>
      </c>
      <c r="AF96" s="19"/>
      <c r="AG96" s="5" t="str">
        <f t="shared" ref="AG96:AH96" si="38">AB96</f>
        <v>No Tdap</v>
      </c>
      <c r="AH96" s="19">
        <f t="shared" si="38"/>
        <v>6</v>
      </c>
      <c r="AI96" s="19" t="s">
        <v>34</v>
      </c>
      <c r="AJ96" s="19" t="s">
        <v>34</v>
      </c>
      <c r="AK96" s="19"/>
      <c r="AL96" s="5" t="str">
        <f t="shared" ref="AL96:AM96" si="39">AG96</f>
        <v>No Tdap</v>
      </c>
      <c r="AM96" s="19">
        <f t="shared" si="39"/>
        <v>6</v>
      </c>
      <c r="AN96" s="19" t="s">
        <v>34</v>
      </c>
      <c r="AO96" s="19" t="s">
        <v>34</v>
      </c>
      <c r="AP96" s="19"/>
    </row>
    <row r="97" spans="1:42" ht="15.75" customHeight="1" x14ac:dyDescent="0.15">
      <c r="A97" s="5">
        <v>1550</v>
      </c>
      <c r="B97" s="21" t="s">
        <v>824</v>
      </c>
      <c r="C97" s="5" t="s">
        <v>33</v>
      </c>
      <c r="D97" s="19">
        <v>133</v>
      </c>
      <c r="E97" s="19" t="s">
        <v>34</v>
      </c>
      <c r="F97" s="19" t="s">
        <v>34</v>
      </c>
      <c r="G97" s="19"/>
      <c r="H97" s="5" t="str">
        <f t="shared" ref="H97:I97" si="40">C97</f>
        <v>Tdap</v>
      </c>
      <c r="I97" s="19">
        <f t="shared" si="40"/>
        <v>133</v>
      </c>
      <c r="J97" s="19" t="s">
        <v>34</v>
      </c>
      <c r="K97" s="19" t="s">
        <v>34</v>
      </c>
      <c r="L97" s="19"/>
      <c r="M97" s="5" t="str">
        <f t="shared" ref="M97:N97" si="41">H97</f>
        <v>Tdap</v>
      </c>
      <c r="N97" s="19">
        <f t="shared" si="41"/>
        <v>133</v>
      </c>
      <c r="O97" s="19" t="s">
        <v>34</v>
      </c>
      <c r="P97" s="19" t="s">
        <v>34</v>
      </c>
      <c r="Q97" s="19"/>
      <c r="R97" s="5" t="str">
        <f t="shared" ref="R97:R98" si="42">M97</f>
        <v>Tdap</v>
      </c>
      <c r="S97" s="19">
        <v>127</v>
      </c>
      <c r="T97" s="19" t="s">
        <v>1545</v>
      </c>
      <c r="U97" s="19" t="s">
        <v>1546</v>
      </c>
      <c r="V97" s="19"/>
      <c r="W97" s="5" t="str">
        <f t="shared" ref="W97:X97" si="43">R97</f>
        <v>Tdap</v>
      </c>
      <c r="X97" s="19">
        <f t="shared" si="43"/>
        <v>127</v>
      </c>
      <c r="Y97" s="19" t="s">
        <v>34</v>
      </c>
      <c r="Z97" s="19" t="s">
        <v>34</v>
      </c>
      <c r="AA97" s="19"/>
      <c r="AB97" s="5" t="str">
        <f t="shared" ref="AB97:AB98" si="44">W97</f>
        <v>Tdap</v>
      </c>
      <c r="AC97" s="19">
        <v>124</v>
      </c>
      <c r="AD97" s="19" t="s">
        <v>1547</v>
      </c>
      <c r="AE97" s="19" t="s">
        <v>1548</v>
      </c>
      <c r="AF97" s="19"/>
      <c r="AG97" s="5" t="str">
        <f t="shared" ref="AG97:AG98" si="45">AB97</f>
        <v>Tdap</v>
      </c>
      <c r="AH97" s="19">
        <v>114</v>
      </c>
      <c r="AI97" s="19" t="s">
        <v>1549</v>
      </c>
      <c r="AJ97" s="19" t="s">
        <v>1550</v>
      </c>
      <c r="AK97" s="19" t="s">
        <v>1551</v>
      </c>
      <c r="AL97" s="5" t="str">
        <f t="shared" ref="AL97:AL98" si="46">AG97</f>
        <v>Tdap</v>
      </c>
      <c r="AM97" s="19">
        <v>63</v>
      </c>
      <c r="AN97" s="19" t="s">
        <v>1552</v>
      </c>
      <c r="AO97" s="5" t="s">
        <v>1553</v>
      </c>
      <c r="AP97" s="5" t="s">
        <v>1554</v>
      </c>
    </row>
    <row r="98" spans="1:42" ht="15.75" customHeight="1" x14ac:dyDescent="0.15">
      <c r="A98" s="5">
        <v>1550</v>
      </c>
      <c r="B98" s="21" t="s">
        <v>824</v>
      </c>
      <c r="C98" s="5" t="s">
        <v>46</v>
      </c>
      <c r="D98" s="19">
        <v>67</v>
      </c>
      <c r="E98" s="19" t="s">
        <v>34</v>
      </c>
      <c r="F98" s="19" t="s">
        <v>34</v>
      </c>
      <c r="G98" s="19"/>
      <c r="H98" s="5" t="str">
        <f t="shared" ref="H98:I98" si="47">C98</f>
        <v>No Tdap</v>
      </c>
      <c r="I98" s="19">
        <f t="shared" si="47"/>
        <v>67</v>
      </c>
      <c r="J98" s="19" t="s">
        <v>34</v>
      </c>
      <c r="K98" s="19" t="s">
        <v>34</v>
      </c>
      <c r="L98" s="19"/>
      <c r="M98" s="5" t="str">
        <f t="shared" ref="M98:N98" si="48">H98</f>
        <v>No Tdap</v>
      </c>
      <c r="N98" s="19">
        <f t="shared" si="48"/>
        <v>67</v>
      </c>
      <c r="O98" s="19" t="s">
        <v>34</v>
      </c>
      <c r="P98" s="19" t="s">
        <v>34</v>
      </c>
      <c r="Q98" s="19"/>
      <c r="R98" s="5" t="str">
        <f t="shared" si="42"/>
        <v>No Tdap</v>
      </c>
      <c r="S98" s="19">
        <v>64</v>
      </c>
      <c r="T98" s="19" t="s">
        <v>1555</v>
      </c>
      <c r="U98" s="19" t="s">
        <v>55</v>
      </c>
      <c r="V98" s="19"/>
      <c r="W98" s="5" t="str">
        <f t="shared" ref="W98:X98" si="49">R98</f>
        <v>No Tdap</v>
      </c>
      <c r="X98" s="19">
        <f t="shared" si="49"/>
        <v>64</v>
      </c>
      <c r="Y98" s="19" t="s">
        <v>34</v>
      </c>
      <c r="Z98" s="19" t="s">
        <v>34</v>
      </c>
      <c r="AA98" s="19"/>
      <c r="AB98" s="5" t="str">
        <f t="shared" si="44"/>
        <v>No Tdap</v>
      </c>
      <c r="AC98" s="19">
        <f>X98</f>
        <v>64</v>
      </c>
      <c r="AD98" s="19" t="s">
        <v>1556</v>
      </c>
      <c r="AE98" s="19" t="s">
        <v>55</v>
      </c>
      <c r="AF98" s="19"/>
      <c r="AG98" s="5" t="str">
        <f t="shared" si="45"/>
        <v>No Tdap</v>
      </c>
      <c r="AH98" s="19">
        <v>59</v>
      </c>
      <c r="AI98" s="19" t="s">
        <v>1557</v>
      </c>
      <c r="AJ98" s="19" t="s">
        <v>55</v>
      </c>
      <c r="AK98" s="19"/>
      <c r="AL98" s="5" t="str">
        <f t="shared" si="46"/>
        <v>No Tdap</v>
      </c>
      <c r="AM98" s="19">
        <v>32</v>
      </c>
      <c r="AN98" s="5" t="s">
        <v>1558</v>
      </c>
      <c r="AO98" s="19" t="s">
        <v>55</v>
      </c>
      <c r="AP98" s="19"/>
    </row>
    <row r="99" spans="1:42" ht="15.75" customHeight="1" x14ac:dyDescent="0.1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row>
    <row r="100" spans="1:42" ht="15.75" customHeight="1" x14ac:dyDescent="0.1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row>
    <row r="101" spans="1:42" ht="15.75" customHeight="1" x14ac:dyDescent="0.1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row>
    <row r="102" spans="1:42" ht="15.75" customHeight="1" x14ac:dyDescent="0.1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row>
    <row r="103" spans="1:42" ht="15.75" customHeight="1" x14ac:dyDescent="0.1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row>
    <row r="104" spans="1:42" ht="15.75" customHeight="1" x14ac:dyDescent="0.1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row>
    <row r="105" spans="1:42" ht="15.75" customHeight="1" x14ac:dyDescent="0.1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row>
    <row r="106" spans="1:42" ht="15.75" customHeight="1" x14ac:dyDescent="0.1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row>
    <row r="107" spans="1:42" ht="15.75" customHeight="1" x14ac:dyDescent="0.1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row>
    <row r="108" spans="1:42" ht="15.75" customHeight="1" x14ac:dyDescent="0.1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row>
    <row r="109" spans="1:42" ht="15.75" customHeight="1" x14ac:dyDescent="0.1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row>
    <row r="110" spans="1:42" ht="15.75" customHeight="1" x14ac:dyDescent="0.1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row>
    <row r="111" spans="1:42" ht="15.75" customHeight="1" x14ac:dyDescent="0.1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row>
    <row r="112" spans="1:42" ht="15.75" customHeight="1" x14ac:dyDescent="0.1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row>
    <row r="113" spans="1:42" ht="15.75" customHeight="1" x14ac:dyDescent="0.1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row>
    <row r="114" spans="1:42" ht="15.75" customHeight="1" x14ac:dyDescent="0.1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row>
    <row r="115" spans="1:42" ht="15.75" customHeight="1" x14ac:dyDescent="0.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row>
    <row r="116" spans="1:42" ht="15.75" customHeight="1" x14ac:dyDescent="0.1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row>
    <row r="117" spans="1:42" ht="15.75" customHeight="1" x14ac:dyDescent="0.1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row>
    <row r="118" spans="1:42" ht="15.75" customHeight="1" x14ac:dyDescent="0.1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row>
    <row r="119" spans="1:42" ht="15.75" customHeight="1" x14ac:dyDescent="0.1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row>
    <row r="120" spans="1:42" ht="15.75" customHeight="1" x14ac:dyDescent="0.1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row>
    <row r="121" spans="1:42" ht="15.75" customHeight="1" x14ac:dyDescent="0.1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row>
    <row r="122" spans="1:42" ht="15.75" customHeight="1" x14ac:dyDescent="0.1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row>
    <row r="123" spans="1:42" ht="15.75" customHeight="1" x14ac:dyDescent="0.1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row>
    <row r="124" spans="1:42" ht="15.75" customHeight="1" x14ac:dyDescent="0.1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row>
    <row r="125" spans="1:42" ht="15.75" customHeight="1" x14ac:dyDescent="0.1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row>
    <row r="126" spans="1:42" ht="15.75" customHeight="1" x14ac:dyDescent="0.1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row>
    <row r="127" spans="1:42" ht="15.75" customHeight="1" x14ac:dyDescent="0.1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row>
    <row r="128" spans="1:42" ht="15.75" customHeight="1" x14ac:dyDescent="0.1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row>
    <row r="129" spans="1:42" ht="15.75" customHeight="1" x14ac:dyDescent="0.1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row>
    <row r="130" spans="1:42" ht="15.75" customHeight="1" x14ac:dyDescent="0.1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row>
    <row r="131" spans="1:42" ht="15.75" customHeight="1" x14ac:dyDescent="0.1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row>
    <row r="132" spans="1:42" ht="15.75" customHeight="1" x14ac:dyDescent="0.1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row>
    <row r="133" spans="1:42" ht="15.75" customHeight="1" x14ac:dyDescent="0.1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row>
    <row r="134" spans="1:42" ht="15.75" customHeight="1" x14ac:dyDescent="0.1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row>
    <row r="135" spans="1:42" ht="15.75" customHeight="1" x14ac:dyDescent="0.1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row>
    <row r="136" spans="1:42" ht="15.75" customHeight="1" x14ac:dyDescent="0.1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row>
    <row r="137" spans="1:42" ht="15.75" customHeight="1" x14ac:dyDescent="0.1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row>
    <row r="138" spans="1:42" ht="15.75" customHeight="1" x14ac:dyDescent="0.1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row>
    <row r="139" spans="1:42" ht="15.75" customHeight="1" x14ac:dyDescent="0.1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row>
    <row r="140" spans="1:42" ht="15.75" customHeight="1" x14ac:dyDescent="0.1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row>
    <row r="141" spans="1:42" ht="15.75" customHeight="1" x14ac:dyDescent="0.1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row>
    <row r="142" spans="1:42" ht="15.75" customHeight="1" x14ac:dyDescent="0.1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row>
    <row r="143" spans="1:42" ht="15.75" customHeight="1" x14ac:dyDescent="0.1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row>
    <row r="144" spans="1:42" ht="15.75" customHeight="1" x14ac:dyDescent="0.1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row>
    <row r="145" spans="1:42" ht="15.75" customHeight="1" x14ac:dyDescent="0.1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row>
    <row r="146" spans="1:42" ht="15.75" customHeight="1" x14ac:dyDescent="0.1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row>
    <row r="147" spans="1:42" ht="15.75" customHeight="1" x14ac:dyDescent="0.1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row>
    <row r="148" spans="1:42" ht="15.75" customHeight="1" x14ac:dyDescent="0.1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row>
    <row r="149" spans="1:42" ht="15.75" customHeight="1" x14ac:dyDescent="0.1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row>
    <row r="150" spans="1:42" ht="15.75" customHeight="1" x14ac:dyDescent="0.1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row>
    <row r="151" spans="1:42" ht="15.75" customHeight="1" x14ac:dyDescent="0.1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row>
    <row r="152" spans="1:42" ht="15.75" customHeight="1" x14ac:dyDescent="0.1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row>
    <row r="153" spans="1:42" ht="15.75" customHeight="1" x14ac:dyDescent="0.1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row>
    <row r="154" spans="1:42" ht="15.75" customHeight="1" x14ac:dyDescent="0.1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row>
    <row r="155" spans="1:42" ht="15.75" customHeight="1" x14ac:dyDescent="0.1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row>
    <row r="156" spans="1:42" ht="15.75" customHeight="1" x14ac:dyDescent="0.1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row>
    <row r="157" spans="1:42" ht="15.75" customHeight="1" x14ac:dyDescent="0.1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row>
    <row r="158" spans="1:42" ht="15.75" customHeight="1" x14ac:dyDescent="0.1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row>
    <row r="159" spans="1:42" ht="15.75" customHeight="1" x14ac:dyDescent="0.1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row>
    <row r="160" spans="1:42" ht="15.75" customHeight="1" x14ac:dyDescent="0.1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row>
    <row r="161" spans="1:42" ht="15.75" customHeight="1" x14ac:dyDescent="0.1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row>
    <row r="162" spans="1:42" ht="15.75" customHeight="1" x14ac:dyDescent="0.1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row>
    <row r="163" spans="1:42" ht="15.75" customHeight="1" x14ac:dyDescent="0.1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row>
    <row r="164" spans="1:42" ht="15.75" customHeight="1" x14ac:dyDescent="0.1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row>
    <row r="165" spans="1:42" ht="15.75" customHeight="1" x14ac:dyDescent="0.1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row>
    <row r="166" spans="1:42" ht="15.75" customHeight="1" x14ac:dyDescent="0.1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row>
    <row r="167" spans="1:42" ht="15.75" customHeight="1" x14ac:dyDescent="0.1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row>
    <row r="168" spans="1:42" ht="15.75" customHeight="1" x14ac:dyDescent="0.1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row>
    <row r="169" spans="1:42" ht="15.75" customHeight="1" x14ac:dyDescent="0.1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row>
    <row r="170" spans="1:42" ht="15.75" customHeight="1" x14ac:dyDescent="0.1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row>
    <row r="171" spans="1:42" ht="15.75" customHeight="1" x14ac:dyDescent="0.1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row>
    <row r="172" spans="1:42" ht="15.75" customHeight="1" x14ac:dyDescent="0.1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row>
    <row r="173" spans="1:42" ht="15.75" customHeight="1" x14ac:dyDescent="0.1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row>
    <row r="174" spans="1:42" ht="15.75" customHeight="1" x14ac:dyDescent="0.1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row>
    <row r="175" spans="1:42" ht="15.75" customHeight="1" x14ac:dyDescent="0.1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row>
    <row r="176" spans="1:42" ht="15.75" customHeight="1" x14ac:dyDescent="0.1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row>
    <row r="177" spans="1:42" ht="15.75" customHeight="1" x14ac:dyDescent="0.1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row>
    <row r="178" spans="1:42" ht="15.75" customHeight="1" x14ac:dyDescent="0.1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row>
    <row r="179" spans="1:42" ht="15.75" customHeight="1" x14ac:dyDescent="0.1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row>
    <row r="180" spans="1:42" ht="15.75" customHeight="1" x14ac:dyDescent="0.1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row>
    <row r="181" spans="1:42" ht="15.75" customHeight="1" x14ac:dyDescent="0.1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row>
    <row r="182" spans="1:42" ht="15.75" customHeight="1" x14ac:dyDescent="0.1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row>
    <row r="183" spans="1:42" ht="15.75" customHeight="1" x14ac:dyDescent="0.1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row>
    <row r="184" spans="1:42" ht="15.75" customHeight="1" x14ac:dyDescent="0.1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row>
    <row r="185" spans="1:42" ht="15.75" customHeight="1" x14ac:dyDescent="0.1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row>
    <row r="186" spans="1:42" ht="15.75" customHeight="1" x14ac:dyDescent="0.1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row>
    <row r="187" spans="1:42" ht="15.75" customHeight="1" x14ac:dyDescent="0.1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row>
    <row r="188" spans="1:42" ht="15.75" customHeight="1" x14ac:dyDescent="0.1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row>
    <row r="189" spans="1:42" ht="15.75" customHeight="1" x14ac:dyDescent="0.1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row>
    <row r="190" spans="1:42" ht="15.75" customHeight="1" x14ac:dyDescent="0.1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row>
    <row r="191" spans="1:42" ht="15.75" customHeight="1" x14ac:dyDescent="0.1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row>
    <row r="192" spans="1:42" ht="15.75" customHeight="1" x14ac:dyDescent="0.1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row>
    <row r="193" spans="1:42" ht="15.75" customHeight="1" x14ac:dyDescent="0.1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row>
    <row r="194" spans="1:42" ht="15.75" customHeight="1" x14ac:dyDescent="0.1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row>
    <row r="195" spans="1:42" ht="15.75" customHeight="1" x14ac:dyDescent="0.1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row>
    <row r="196" spans="1:42" ht="15.75" customHeight="1" x14ac:dyDescent="0.1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row>
    <row r="197" spans="1:42" ht="15.75" customHeight="1" x14ac:dyDescent="0.1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row>
    <row r="198" spans="1:42" ht="15.75" customHeight="1" x14ac:dyDescent="0.1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row>
    <row r="199" spans="1:42" ht="15.75" customHeight="1" x14ac:dyDescent="0.1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row>
    <row r="200" spans="1:42" ht="15.75" customHeight="1" x14ac:dyDescent="0.1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row>
    <row r="201" spans="1:42" ht="15.75" customHeight="1" x14ac:dyDescent="0.1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row>
    <row r="202" spans="1:42" ht="15.75" customHeight="1" x14ac:dyDescent="0.1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row>
    <row r="203" spans="1:42" ht="15.75" customHeight="1" x14ac:dyDescent="0.1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row>
    <row r="204" spans="1:42" ht="15.75" customHeight="1" x14ac:dyDescent="0.1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row>
    <row r="205" spans="1:42" ht="15.75" customHeight="1" x14ac:dyDescent="0.1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row>
    <row r="206" spans="1:42" ht="15.75" customHeight="1" x14ac:dyDescent="0.1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row>
    <row r="207" spans="1:42" ht="15.75" customHeight="1" x14ac:dyDescent="0.1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row>
    <row r="208" spans="1:42" ht="15.75" customHeight="1" x14ac:dyDescent="0.1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row>
    <row r="209" spans="1:42" ht="15.75" customHeight="1" x14ac:dyDescent="0.1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row>
    <row r="210" spans="1:42" ht="15.75" customHeight="1" x14ac:dyDescent="0.1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row>
    <row r="211" spans="1:42" ht="15.75" customHeight="1" x14ac:dyDescent="0.1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row>
    <row r="212" spans="1:42" ht="15.75" customHeight="1" x14ac:dyDescent="0.1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row>
    <row r="213" spans="1:42" ht="15.75" customHeight="1" x14ac:dyDescent="0.1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row>
    <row r="214" spans="1:42" ht="15.75" customHeight="1" x14ac:dyDescent="0.1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row>
    <row r="215" spans="1:42" ht="15.75" customHeight="1" x14ac:dyDescent="0.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row>
    <row r="216" spans="1:42" ht="15.75" customHeight="1" x14ac:dyDescent="0.1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row>
    <row r="217" spans="1:42" ht="15.75" customHeight="1" x14ac:dyDescent="0.1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row>
    <row r="218" spans="1:42" ht="15.75" customHeight="1" x14ac:dyDescent="0.1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row>
    <row r="219" spans="1:42" ht="15.75" customHeight="1" x14ac:dyDescent="0.1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row>
    <row r="220" spans="1:42" ht="15.75" customHeight="1" x14ac:dyDescent="0.1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row>
    <row r="221" spans="1:42" ht="15.75" customHeight="1" x14ac:dyDescent="0.1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row>
    <row r="222" spans="1:42" ht="15.75" customHeight="1" x14ac:dyDescent="0.1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row>
    <row r="223" spans="1:42" ht="15.75" customHeight="1" x14ac:dyDescent="0.1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row>
    <row r="224" spans="1:42" ht="15.75" customHeight="1" x14ac:dyDescent="0.1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row>
    <row r="225" spans="1:42" ht="15.75" customHeight="1" x14ac:dyDescent="0.1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row>
    <row r="226" spans="1:42" ht="15.75" customHeight="1" x14ac:dyDescent="0.1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row>
    <row r="227" spans="1:42" ht="15.75" customHeight="1" x14ac:dyDescent="0.1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row>
    <row r="228" spans="1:42" ht="15.75" customHeight="1" x14ac:dyDescent="0.1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row>
    <row r="229" spans="1:42" ht="15.75" customHeight="1" x14ac:dyDescent="0.1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row>
    <row r="230" spans="1:42" ht="15.75" customHeight="1" x14ac:dyDescent="0.1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row>
    <row r="231" spans="1:42" ht="15.75" customHeight="1" x14ac:dyDescent="0.1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row>
    <row r="232" spans="1:42" ht="15.75" customHeight="1" x14ac:dyDescent="0.1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row>
    <row r="233" spans="1:42" ht="15.75" customHeight="1" x14ac:dyDescent="0.1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row>
    <row r="234" spans="1:42" ht="15.75" customHeight="1" x14ac:dyDescent="0.1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row>
    <row r="235" spans="1:42" ht="15.75" customHeight="1" x14ac:dyDescent="0.1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row>
    <row r="236" spans="1:42" ht="15.75" customHeight="1" x14ac:dyDescent="0.1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row>
    <row r="237" spans="1:42" ht="15.75" customHeight="1" x14ac:dyDescent="0.1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row>
    <row r="238" spans="1:42" ht="15.75" customHeight="1" x14ac:dyDescent="0.1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row>
    <row r="239" spans="1:42" ht="15.75" customHeight="1" x14ac:dyDescent="0.1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row>
    <row r="240" spans="1:42" ht="15.75" customHeight="1" x14ac:dyDescent="0.1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row>
    <row r="241" spans="1:42" ht="15.75" customHeight="1" x14ac:dyDescent="0.1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row>
    <row r="242" spans="1:42" ht="15.75" customHeight="1" x14ac:dyDescent="0.1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row>
    <row r="243" spans="1:42" ht="15.75" customHeight="1" x14ac:dyDescent="0.1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row>
    <row r="244" spans="1:42" ht="15.75" customHeight="1" x14ac:dyDescent="0.1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row>
    <row r="245" spans="1:42" ht="15.75" customHeight="1" x14ac:dyDescent="0.1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row>
    <row r="246" spans="1:42" ht="15.75" customHeight="1" x14ac:dyDescent="0.1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row>
    <row r="247" spans="1:42" ht="15.75" customHeight="1" x14ac:dyDescent="0.1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row>
    <row r="248" spans="1:42" ht="15.75" customHeight="1" x14ac:dyDescent="0.1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row>
    <row r="249" spans="1:42" ht="15.75" customHeight="1" x14ac:dyDescent="0.1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row>
    <row r="250" spans="1:42" ht="15.75" customHeight="1" x14ac:dyDescent="0.1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row>
    <row r="251" spans="1:42" ht="15.75" customHeight="1" x14ac:dyDescent="0.1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row>
    <row r="252" spans="1:42" ht="15.75" customHeight="1" x14ac:dyDescent="0.1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row>
    <row r="253" spans="1:42" ht="15.75" customHeight="1" x14ac:dyDescent="0.1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row>
    <row r="254" spans="1:42" ht="15.75" customHeight="1" x14ac:dyDescent="0.1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row>
    <row r="255" spans="1:42" ht="15.75" customHeight="1" x14ac:dyDescent="0.1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row>
    <row r="256" spans="1:42" ht="15.75" customHeight="1" x14ac:dyDescent="0.1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row>
    <row r="257" spans="1:42" ht="15.75" customHeight="1" x14ac:dyDescent="0.1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row>
    <row r="258" spans="1:42" ht="15.75" customHeight="1" x14ac:dyDescent="0.1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row>
    <row r="259" spans="1:42" ht="15.75" customHeight="1" x14ac:dyDescent="0.1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row>
    <row r="260" spans="1:42" ht="15.75" customHeight="1" x14ac:dyDescent="0.1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row>
    <row r="261" spans="1:42" ht="15.75" customHeight="1" x14ac:dyDescent="0.1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row>
    <row r="262" spans="1:42" ht="15.75" customHeight="1" x14ac:dyDescent="0.1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row>
    <row r="263" spans="1:42" ht="15.75" customHeight="1" x14ac:dyDescent="0.1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row>
    <row r="264" spans="1:42" ht="15.75" customHeight="1" x14ac:dyDescent="0.1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row>
    <row r="265" spans="1:42" ht="15.75" customHeight="1" x14ac:dyDescent="0.1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row>
    <row r="266" spans="1:42" ht="15.75" customHeight="1" x14ac:dyDescent="0.1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row>
    <row r="267" spans="1:42" ht="15.75" customHeight="1" x14ac:dyDescent="0.1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row>
    <row r="268" spans="1:42" ht="15.75" customHeight="1" x14ac:dyDescent="0.1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row>
    <row r="269" spans="1:42" ht="15.75" customHeight="1" x14ac:dyDescent="0.1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row>
    <row r="270" spans="1:42" ht="15.75" customHeight="1" x14ac:dyDescent="0.1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row>
    <row r="271" spans="1:42" ht="15.75" customHeight="1" x14ac:dyDescent="0.1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row>
    <row r="272" spans="1:42" ht="15.75" customHeight="1" x14ac:dyDescent="0.1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row>
    <row r="273" spans="1:42" ht="15.75" customHeight="1" x14ac:dyDescent="0.1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row>
    <row r="274" spans="1:42" ht="15.75" customHeight="1" x14ac:dyDescent="0.1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row>
    <row r="275" spans="1:42" ht="15.75" customHeight="1" x14ac:dyDescent="0.1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row>
    <row r="276" spans="1:42" ht="15.75" customHeight="1" x14ac:dyDescent="0.1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row>
    <row r="277" spans="1:42" ht="15.75" customHeight="1" x14ac:dyDescent="0.1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row>
    <row r="278" spans="1:42" ht="15.75" customHeight="1" x14ac:dyDescent="0.1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row>
    <row r="279" spans="1:42" ht="15.75" customHeight="1" x14ac:dyDescent="0.1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row>
    <row r="280" spans="1:42" ht="15.75" customHeight="1" x14ac:dyDescent="0.1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row>
    <row r="281" spans="1:42" ht="15.75" customHeight="1" x14ac:dyDescent="0.1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row>
    <row r="282" spans="1:42" ht="15.75" customHeight="1" x14ac:dyDescent="0.1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row>
    <row r="283" spans="1:42" ht="15.75" customHeight="1" x14ac:dyDescent="0.1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row>
    <row r="284" spans="1:42" ht="15.75" customHeight="1" x14ac:dyDescent="0.1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row>
    <row r="285" spans="1:42" ht="15.75" customHeight="1" x14ac:dyDescent="0.1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row>
    <row r="286" spans="1:42" ht="15.75" customHeight="1" x14ac:dyDescent="0.1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row>
    <row r="287" spans="1:42" ht="15.75" customHeight="1" x14ac:dyDescent="0.1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row>
    <row r="288" spans="1:42" ht="15.75" customHeight="1" x14ac:dyDescent="0.1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row>
    <row r="289" spans="1:42" ht="15.75" customHeight="1" x14ac:dyDescent="0.1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row>
    <row r="290" spans="1:42" ht="15.75" customHeight="1" x14ac:dyDescent="0.1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row>
    <row r="291" spans="1:42" ht="15.75" customHeight="1" x14ac:dyDescent="0.1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row>
    <row r="292" spans="1:42" ht="15.75" customHeight="1" x14ac:dyDescent="0.1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row>
    <row r="293" spans="1:42" ht="15.75" customHeight="1" x14ac:dyDescent="0.1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row>
    <row r="294" spans="1:42" ht="15.75" customHeight="1" x14ac:dyDescent="0.1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row>
    <row r="295" spans="1:42" ht="15.75" customHeight="1" x14ac:dyDescent="0.1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row>
    <row r="296" spans="1:42" ht="15.75" customHeight="1" x14ac:dyDescent="0.1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row>
    <row r="297" spans="1:42" ht="15.75" customHeight="1" x14ac:dyDescent="0.1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row>
    <row r="298" spans="1:42" ht="15.75" customHeight="1" x14ac:dyDescent="0.1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row>
    <row r="299" spans="1:42" ht="15.75" customHeight="1" x14ac:dyDescent="0.1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row>
    <row r="300" spans="1:42" ht="15.75" customHeight="1" x14ac:dyDescent="0.1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row>
    <row r="301" spans="1:42" ht="15.75" customHeight="1" x14ac:dyDescent="0.1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row>
    <row r="302" spans="1:42" ht="15.75" customHeight="1" x14ac:dyDescent="0.1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row>
    <row r="303" spans="1:42" ht="15.75" customHeight="1" x14ac:dyDescent="0.1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row>
    <row r="304" spans="1:42" ht="15.75" customHeight="1" x14ac:dyDescent="0.1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row>
    <row r="305" spans="1:42" ht="15.75" customHeight="1" x14ac:dyDescent="0.1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row>
    <row r="306" spans="1:42" ht="15.75" customHeight="1" x14ac:dyDescent="0.1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row>
    <row r="307" spans="1:42" ht="15.75" customHeight="1" x14ac:dyDescent="0.1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row>
    <row r="308" spans="1:42" ht="15.75" customHeight="1" x14ac:dyDescent="0.1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row>
    <row r="309" spans="1:42" ht="15.75" customHeight="1" x14ac:dyDescent="0.1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row>
    <row r="310" spans="1:42" ht="15.75" customHeight="1" x14ac:dyDescent="0.1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row>
    <row r="311" spans="1:42" ht="15.75" customHeight="1" x14ac:dyDescent="0.1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row>
    <row r="312" spans="1:42" ht="15.75" customHeight="1" x14ac:dyDescent="0.1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row>
    <row r="313" spans="1:42" ht="15.75" customHeight="1" x14ac:dyDescent="0.1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row>
    <row r="314" spans="1:42" ht="15.75" customHeight="1" x14ac:dyDescent="0.1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row>
    <row r="315" spans="1:42" ht="15.75" customHeight="1" x14ac:dyDescent="0.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row>
    <row r="316" spans="1:42" ht="15.75" customHeight="1" x14ac:dyDescent="0.1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row>
    <row r="317" spans="1:42" ht="15.75" customHeight="1" x14ac:dyDescent="0.1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row>
    <row r="318" spans="1:42" ht="15.75" customHeight="1" x14ac:dyDescent="0.1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row>
    <row r="319" spans="1:42" ht="15.75" customHeight="1" x14ac:dyDescent="0.1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row>
    <row r="320" spans="1:42" ht="15.75" customHeight="1" x14ac:dyDescent="0.1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row>
    <row r="321" spans="1:42" ht="15.75" customHeight="1" x14ac:dyDescent="0.1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row>
    <row r="322" spans="1:42" ht="15.75" customHeight="1" x14ac:dyDescent="0.1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row>
    <row r="323" spans="1:42" ht="15.75" customHeight="1" x14ac:dyDescent="0.1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row>
    <row r="324" spans="1:42" ht="15.75" customHeight="1" x14ac:dyDescent="0.1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row>
    <row r="325" spans="1:42" ht="15.75" customHeight="1" x14ac:dyDescent="0.1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row>
    <row r="326" spans="1:42" ht="15.75" customHeight="1" x14ac:dyDescent="0.1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row>
    <row r="327" spans="1:42" ht="15.75" customHeight="1" x14ac:dyDescent="0.1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row>
    <row r="328" spans="1:42" ht="15.75" customHeight="1" x14ac:dyDescent="0.1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row>
    <row r="329" spans="1:42" ht="15.75" customHeight="1" x14ac:dyDescent="0.1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row>
    <row r="330" spans="1:42" ht="15.75" customHeight="1" x14ac:dyDescent="0.1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row>
    <row r="331" spans="1:42" ht="15.75" customHeight="1" x14ac:dyDescent="0.1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row>
    <row r="332" spans="1:42" ht="15.75" customHeight="1" x14ac:dyDescent="0.1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row>
    <row r="333" spans="1:42" ht="15.75" customHeight="1" x14ac:dyDescent="0.1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row>
    <row r="334" spans="1:42" ht="15.75" customHeight="1" x14ac:dyDescent="0.1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row>
    <row r="335" spans="1:42" ht="15.75" customHeight="1" x14ac:dyDescent="0.1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row>
    <row r="336" spans="1:42" ht="15.75" customHeight="1" x14ac:dyDescent="0.1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row>
    <row r="337" spans="1:42" ht="15.75" customHeight="1" x14ac:dyDescent="0.1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row>
    <row r="338" spans="1:42" ht="15.75" customHeight="1" x14ac:dyDescent="0.1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row>
    <row r="339" spans="1:42" ht="15.75" customHeight="1" x14ac:dyDescent="0.1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row>
    <row r="340" spans="1:42" ht="15.75" customHeight="1" x14ac:dyDescent="0.1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row>
    <row r="341" spans="1:42" ht="15.75" customHeight="1" x14ac:dyDescent="0.1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row>
    <row r="342" spans="1:42" ht="15.75" customHeight="1" x14ac:dyDescent="0.1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row>
    <row r="343" spans="1:42" ht="15.75" customHeight="1" x14ac:dyDescent="0.1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row>
    <row r="344" spans="1:42" ht="15.75" customHeight="1" x14ac:dyDescent="0.1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row>
    <row r="345" spans="1:42" ht="15.75" customHeight="1" x14ac:dyDescent="0.1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row>
    <row r="346" spans="1:42" ht="15.75" customHeight="1" x14ac:dyDescent="0.1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row>
    <row r="347" spans="1:42" ht="15.75" customHeight="1" x14ac:dyDescent="0.1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row>
    <row r="348" spans="1:42" ht="15.75" customHeight="1" x14ac:dyDescent="0.1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row>
    <row r="349" spans="1:42" ht="15.75" customHeight="1" x14ac:dyDescent="0.1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row>
    <row r="350" spans="1:42" ht="15.75" customHeight="1" x14ac:dyDescent="0.1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row>
    <row r="351" spans="1:42" ht="15.75" customHeight="1" x14ac:dyDescent="0.1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row>
    <row r="352" spans="1:42" ht="15.75" customHeight="1" x14ac:dyDescent="0.1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row>
    <row r="353" spans="1:42" ht="15.75" customHeight="1" x14ac:dyDescent="0.1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row>
    <row r="354" spans="1:42" ht="15.75" customHeight="1" x14ac:dyDescent="0.1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row>
    <row r="355" spans="1:42" ht="15.75" customHeight="1" x14ac:dyDescent="0.1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row>
    <row r="356" spans="1:42" ht="15.75" customHeight="1" x14ac:dyDescent="0.1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row>
    <row r="357" spans="1:42" ht="15.75" customHeight="1" x14ac:dyDescent="0.1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row>
    <row r="358" spans="1:42" ht="15.75" customHeight="1" x14ac:dyDescent="0.1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row>
    <row r="359" spans="1:42" ht="15.75" customHeight="1" x14ac:dyDescent="0.1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row>
    <row r="360" spans="1:42" ht="15.75" customHeight="1" x14ac:dyDescent="0.1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row>
    <row r="361" spans="1:42" ht="15.75" customHeight="1" x14ac:dyDescent="0.1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row>
    <row r="362" spans="1:42" ht="15.75" customHeight="1" x14ac:dyDescent="0.1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row>
    <row r="363" spans="1:42" ht="15.75" customHeight="1" x14ac:dyDescent="0.1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row>
    <row r="364" spans="1:42" ht="15.75" customHeight="1" x14ac:dyDescent="0.1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row>
    <row r="365" spans="1:42" ht="15.75" customHeight="1" x14ac:dyDescent="0.1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row>
    <row r="366" spans="1:42" ht="15.75" customHeight="1" x14ac:dyDescent="0.1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row>
    <row r="367" spans="1:42" ht="15.75" customHeight="1" x14ac:dyDescent="0.1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row>
    <row r="368" spans="1:42" ht="15.75" customHeight="1" x14ac:dyDescent="0.1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row>
    <row r="369" spans="1:42" ht="15.75" customHeight="1" x14ac:dyDescent="0.1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row>
    <row r="370" spans="1:42" ht="15.75" customHeight="1" x14ac:dyDescent="0.1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row>
    <row r="371" spans="1:42" ht="15.75" customHeight="1" x14ac:dyDescent="0.1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row>
    <row r="372" spans="1:42" ht="15.75" customHeight="1" x14ac:dyDescent="0.1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row>
    <row r="373" spans="1:42" ht="15.75" customHeight="1" x14ac:dyDescent="0.1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row>
    <row r="374" spans="1:42" ht="15.75" customHeight="1" x14ac:dyDescent="0.1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row>
    <row r="375" spans="1:42" ht="15.75" customHeight="1" x14ac:dyDescent="0.1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row>
    <row r="376" spans="1:42" ht="15.75" customHeight="1" x14ac:dyDescent="0.1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row>
    <row r="377" spans="1:42" ht="15.75" customHeight="1" x14ac:dyDescent="0.1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row>
    <row r="378" spans="1:42" ht="15.75" customHeight="1" x14ac:dyDescent="0.1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row>
    <row r="379" spans="1:42" ht="15.75" customHeight="1" x14ac:dyDescent="0.1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row>
    <row r="380" spans="1:42" ht="15.75" customHeight="1" x14ac:dyDescent="0.1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row>
    <row r="381" spans="1:42" ht="15.75" customHeight="1" x14ac:dyDescent="0.1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row>
    <row r="382" spans="1:42" ht="15.75" customHeight="1" x14ac:dyDescent="0.1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row>
    <row r="383" spans="1:42" ht="15.75" customHeight="1" x14ac:dyDescent="0.1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row>
    <row r="384" spans="1:42" ht="15.75" customHeight="1" x14ac:dyDescent="0.1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row>
    <row r="385" spans="1:42" ht="15.75" customHeight="1" x14ac:dyDescent="0.1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row>
    <row r="386" spans="1:42" ht="15.75" customHeight="1" x14ac:dyDescent="0.1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row>
    <row r="387" spans="1:42" ht="15.75" customHeight="1" x14ac:dyDescent="0.1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row>
    <row r="388" spans="1:42" ht="15.75" customHeight="1" x14ac:dyDescent="0.1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row>
    <row r="389" spans="1:42" ht="15.75" customHeight="1" x14ac:dyDescent="0.1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row>
    <row r="390" spans="1:42" ht="15.75" customHeight="1" x14ac:dyDescent="0.1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row>
    <row r="391" spans="1:42" ht="15.75" customHeight="1" x14ac:dyDescent="0.1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row>
    <row r="392" spans="1:42" ht="15.75" customHeight="1" x14ac:dyDescent="0.1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row>
    <row r="393" spans="1:42" ht="15.75" customHeight="1" x14ac:dyDescent="0.1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row>
    <row r="394" spans="1:42" ht="15.75" customHeight="1" x14ac:dyDescent="0.1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row>
    <row r="395" spans="1:42" ht="15.75" customHeight="1" x14ac:dyDescent="0.1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row>
    <row r="396" spans="1:42" ht="15.75" customHeight="1" x14ac:dyDescent="0.1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row>
    <row r="397" spans="1:42" ht="15.75" customHeight="1" x14ac:dyDescent="0.1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row>
    <row r="398" spans="1:42" ht="15.75" customHeight="1" x14ac:dyDescent="0.1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row>
    <row r="399" spans="1:42" ht="15.75" customHeight="1" x14ac:dyDescent="0.1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row>
    <row r="400" spans="1:42" ht="15.75" customHeight="1" x14ac:dyDescent="0.1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row>
    <row r="401" spans="1:42" ht="15.75" customHeight="1" x14ac:dyDescent="0.1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row>
    <row r="402" spans="1:42" ht="15.75" customHeight="1" x14ac:dyDescent="0.1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row>
    <row r="403" spans="1:42" ht="15.75" customHeight="1" x14ac:dyDescent="0.1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row>
    <row r="404" spans="1:42" ht="15.75" customHeight="1" x14ac:dyDescent="0.1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row>
    <row r="405" spans="1:42" ht="15.75" customHeight="1" x14ac:dyDescent="0.1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row>
    <row r="406" spans="1:42" ht="15.75" customHeight="1" x14ac:dyDescent="0.1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row>
    <row r="407" spans="1:42" ht="15.75" customHeight="1" x14ac:dyDescent="0.1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row>
    <row r="408" spans="1:42" ht="15.75" customHeight="1" x14ac:dyDescent="0.1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row>
    <row r="409" spans="1:42" ht="15.75" customHeight="1" x14ac:dyDescent="0.1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row>
    <row r="410" spans="1:42" ht="15.75" customHeight="1" x14ac:dyDescent="0.1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row>
    <row r="411" spans="1:42" ht="15.75" customHeight="1" x14ac:dyDescent="0.1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row>
    <row r="412" spans="1:42" ht="15.75" customHeight="1" x14ac:dyDescent="0.1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row>
    <row r="413" spans="1:42" ht="15.75" customHeight="1" x14ac:dyDescent="0.1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row>
    <row r="414" spans="1:42" ht="15.75" customHeight="1" x14ac:dyDescent="0.1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row>
    <row r="415" spans="1:42" ht="15.75" customHeight="1" x14ac:dyDescent="0.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row>
    <row r="416" spans="1:42" ht="15.75" customHeight="1" x14ac:dyDescent="0.1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row>
    <row r="417" spans="1:42" ht="15.75" customHeight="1" x14ac:dyDescent="0.1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row>
    <row r="418" spans="1:42" ht="15.75" customHeight="1" x14ac:dyDescent="0.1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row>
    <row r="419" spans="1:42" ht="15.75" customHeight="1" x14ac:dyDescent="0.1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row>
    <row r="420" spans="1:42" ht="15.75" customHeight="1" x14ac:dyDescent="0.1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row>
    <row r="421" spans="1:42" ht="15.75" customHeight="1" x14ac:dyDescent="0.1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row>
    <row r="422" spans="1:42" ht="15.75" customHeight="1" x14ac:dyDescent="0.1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row>
    <row r="423" spans="1:42" ht="15.75" customHeight="1" x14ac:dyDescent="0.1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row>
    <row r="424" spans="1:42" ht="15.75" customHeight="1" x14ac:dyDescent="0.1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row>
    <row r="425" spans="1:42" ht="15.75" customHeight="1" x14ac:dyDescent="0.1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row>
    <row r="426" spans="1:42" ht="15.75" customHeight="1" x14ac:dyDescent="0.1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row>
    <row r="427" spans="1:42" ht="15.75" customHeight="1" x14ac:dyDescent="0.1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row>
    <row r="428" spans="1:42" ht="15.75" customHeight="1" x14ac:dyDescent="0.1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row>
    <row r="429" spans="1:42" ht="15.75" customHeight="1" x14ac:dyDescent="0.1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row>
    <row r="430" spans="1:42" ht="15.75" customHeight="1" x14ac:dyDescent="0.1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row>
    <row r="431" spans="1:42" ht="15.75" customHeight="1" x14ac:dyDescent="0.1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row>
    <row r="432" spans="1:42" ht="15.75" customHeight="1" x14ac:dyDescent="0.1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row>
    <row r="433" spans="1:42" ht="15.75" customHeight="1" x14ac:dyDescent="0.1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row>
    <row r="434" spans="1:42" ht="15.75" customHeight="1" x14ac:dyDescent="0.1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row>
    <row r="435" spans="1:42" ht="15.75" customHeight="1" x14ac:dyDescent="0.1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row>
    <row r="436" spans="1:42" ht="15.75" customHeight="1" x14ac:dyDescent="0.1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row>
    <row r="437" spans="1:42" ht="15.75" customHeight="1" x14ac:dyDescent="0.1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row>
    <row r="438" spans="1:42" ht="15.75" customHeight="1" x14ac:dyDescent="0.1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row>
    <row r="439" spans="1:42" ht="15.75" customHeight="1" x14ac:dyDescent="0.1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row>
    <row r="440" spans="1:42" ht="15.75" customHeight="1" x14ac:dyDescent="0.1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row>
    <row r="441" spans="1:42" ht="15.75" customHeight="1" x14ac:dyDescent="0.1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row>
    <row r="442" spans="1:42" ht="15.75" customHeight="1" x14ac:dyDescent="0.1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row>
    <row r="443" spans="1:42" ht="15.75" customHeight="1" x14ac:dyDescent="0.1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row>
    <row r="444" spans="1:42" ht="15.75" customHeight="1" x14ac:dyDescent="0.1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row>
    <row r="445" spans="1:42" ht="15.75" customHeight="1" x14ac:dyDescent="0.1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row>
    <row r="446" spans="1:42" ht="15.75" customHeight="1" x14ac:dyDescent="0.1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row>
    <row r="447" spans="1:42" ht="15.75" customHeight="1" x14ac:dyDescent="0.1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row>
    <row r="448" spans="1:42" ht="15.75" customHeight="1" x14ac:dyDescent="0.1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row>
    <row r="449" spans="1:42" ht="15.75" customHeight="1" x14ac:dyDescent="0.1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row>
    <row r="450" spans="1:42" ht="15.75" customHeight="1" x14ac:dyDescent="0.1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row>
    <row r="451" spans="1:42" ht="15.75" customHeight="1" x14ac:dyDescent="0.1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row>
    <row r="452" spans="1:42" ht="15.75" customHeight="1" x14ac:dyDescent="0.1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row>
    <row r="453" spans="1:42" ht="15.75" customHeight="1" x14ac:dyDescent="0.1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row>
    <row r="454" spans="1:42" ht="15.75" customHeight="1" x14ac:dyDescent="0.1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row>
    <row r="455" spans="1:42" ht="15.75" customHeight="1" x14ac:dyDescent="0.1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row>
    <row r="456" spans="1:42" ht="15.75" customHeight="1" x14ac:dyDescent="0.1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row>
    <row r="457" spans="1:42" ht="15.75" customHeight="1" x14ac:dyDescent="0.1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row>
    <row r="458" spans="1:42" ht="15.75" customHeight="1" x14ac:dyDescent="0.1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row>
    <row r="459" spans="1:42" ht="15.75" customHeight="1" x14ac:dyDescent="0.1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row>
    <row r="460" spans="1:42" ht="15.75" customHeight="1" x14ac:dyDescent="0.1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row>
    <row r="461" spans="1:42" ht="15.75" customHeight="1" x14ac:dyDescent="0.1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row>
    <row r="462" spans="1:42" ht="15.75" customHeight="1" x14ac:dyDescent="0.1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row>
    <row r="463" spans="1:42" ht="15.75" customHeight="1" x14ac:dyDescent="0.1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row>
    <row r="464" spans="1:42" ht="15.75" customHeight="1" x14ac:dyDescent="0.1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row>
    <row r="465" spans="1:42" ht="15.75" customHeight="1" x14ac:dyDescent="0.1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row>
    <row r="466" spans="1:42" ht="15.75" customHeight="1" x14ac:dyDescent="0.1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row>
    <row r="467" spans="1:42" ht="15.75" customHeight="1" x14ac:dyDescent="0.1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row>
    <row r="468" spans="1:42" ht="15.75" customHeight="1" x14ac:dyDescent="0.1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row>
    <row r="469" spans="1:42" ht="15.75" customHeight="1" x14ac:dyDescent="0.1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row>
    <row r="470" spans="1:42" ht="15.75" customHeight="1" x14ac:dyDescent="0.1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row>
    <row r="471" spans="1:42" ht="15.75" customHeight="1" x14ac:dyDescent="0.1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row>
    <row r="472" spans="1:42" ht="15.75" customHeight="1" x14ac:dyDescent="0.1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row>
    <row r="473" spans="1:42" ht="15.75" customHeight="1" x14ac:dyDescent="0.1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row>
    <row r="474" spans="1:42" ht="15.75" customHeight="1" x14ac:dyDescent="0.1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row>
    <row r="475" spans="1:42" ht="15.75" customHeight="1" x14ac:dyDescent="0.1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row>
    <row r="476" spans="1:42" ht="15.75" customHeight="1" x14ac:dyDescent="0.1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row>
    <row r="477" spans="1:42" ht="15.75" customHeight="1" x14ac:dyDescent="0.1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row>
    <row r="478" spans="1:42" ht="15.75" customHeight="1" x14ac:dyDescent="0.1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row>
    <row r="479" spans="1:42" ht="15.75" customHeight="1" x14ac:dyDescent="0.1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row>
    <row r="480" spans="1:42" ht="15.75" customHeight="1" x14ac:dyDescent="0.1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row>
    <row r="481" spans="1:42" ht="15.75" customHeight="1" x14ac:dyDescent="0.1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row>
    <row r="482" spans="1:42" ht="15.75" customHeight="1" x14ac:dyDescent="0.1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row>
    <row r="483" spans="1:42" ht="15.75" customHeight="1" x14ac:dyDescent="0.1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row>
    <row r="484" spans="1:42" ht="15.75" customHeight="1" x14ac:dyDescent="0.1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row>
    <row r="485" spans="1:42" ht="15.75" customHeight="1" x14ac:dyDescent="0.1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row>
    <row r="486" spans="1:42" ht="15.75" customHeight="1" x14ac:dyDescent="0.1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row>
    <row r="487" spans="1:42" ht="15.75" customHeight="1" x14ac:dyDescent="0.1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row>
    <row r="488" spans="1:42" ht="15.75" customHeight="1" x14ac:dyDescent="0.1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row>
    <row r="489" spans="1:42" ht="15.75" customHeight="1" x14ac:dyDescent="0.1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row>
    <row r="490" spans="1:42" ht="15.75" customHeight="1" x14ac:dyDescent="0.1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row>
    <row r="491" spans="1:42" ht="15.75" customHeight="1" x14ac:dyDescent="0.1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row>
    <row r="492" spans="1:42" ht="15.75" customHeight="1" x14ac:dyDescent="0.1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row>
    <row r="493" spans="1:42" ht="15.75" customHeight="1" x14ac:dyDescent="0.1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row>
    <row r="494" spans="1:42" ht="15.75" customHeight="1" x14ac:dyDescent="0.1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row>
    <row r="495" spans="1:42" ht="15.75" customHeight="1" x14ac:dyDescent="0.1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row>
    <row r="496" spans="1:42" ht="15.75" customHeight="1" x14ac:dyDescent="0.1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row>
    <row r="497" spans="1:42" ht="15.75" customHeight="1" x14ac:dyDescent="0.1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row>
    <row r="498" spans="1:42" ht="15.75" customHeight="1" x14ac:dyDescent="0.1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row>
    <row r="499" spans="1:42" ht="15.75" customHeight="1" x14ac:dyDescent="0.1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row>
    <row r="500" spans="1:42" ht="15.75" customHeight="1" x14ac:dyDescent="0.1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row>
    <row r="501" spans="1:42" ht="15.75" customHeight="1" x14ac:dyDescent="0.1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row>
    <row r="502" spans="1:42" ht="15.75" customHeight="1" x14ac:dyDescent="0.1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row>
    <row r="503" spans="1:42" ht="15.75" customHeight="1" x14ac:dyDescent="0.1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row>
    <row r="504" spans="1:42" ht="15.75" customHeight="1" x14ac:dyDescent="0.1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row>
    <row r="505" spans="1:42" ht="15.75" customHeight="1" x14ac:dyDescent="0.1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row>
    <row r="506" spans="1:42" ht="15.75" customHeight="1" x14ac:dyDescent="0.1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row>
    <row r="507" spans="1:42" ht="15.75" customHeight="1" x14ac:dyDescent="0.1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row>
    <row r="508" spans="1:42" ht="15.75" customHeight="1" x14ac:dyDescent="0.1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row>
    <row r="509" spans="1:42" ht="15.75" customHeight="1" x14ac:dyDescent="0.1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row>
    <row r="510" spans="1:42" ht="15.75" customHeight="1" x14ac:dyDescent="0.1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row>
    <row r="511" spans="1:42" ht="15.75" customHeight="1" x14ac:dyDescent="0.1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row>
    <row r="512" spans="1:42" ht="15.75" customHeight="1" x14ac:dyDescent="0.1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row>
    <row r="513" spans="1:42" ht="15.75" customHeight="1" x14ac:dyDescent="0.1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row>
    <row r="514" spans="1:42" ht="15.75" customHeight="1" x14ac:dyDescent="0.1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row>
    <row r="515" spans="1:42" ht="15.75" customHeight="1" x14ac:dyDescent="0.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row>
    <row r="516" spans="1:42" ht="15.75" customHeight="1" x14ac:dyDescent="0.1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row>
    <row r="517" spans="1:42" ht="15.75" customHeight="1" x14ac:dyDescent="0.1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row>
    <row r="518" spans="1:42" ht="15.75" customHeight="1" x14ac:dyDescent="0.1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row>
    <row r="519" spans="1:42" ht="15.75" customHeight="1" x14ac:dyDescent="0.1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row>
    <row r="520" spans="1:42" ht="15.75" customHeight="1" x14ac:dyDescent="0.1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row>
    <row r="521" spans="1:42" ht="15.75" customHeight="1" x14ac:dyDescent="0.1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row>
    <row r="522" spans="1:42" ht="15.75" customHeight="1" x14ac:dyDescent="0.1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row>
    <row r="523" spans="1:42" ht="15.75" customHeight="1" x14ac:dyDescent="0.1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row>
    <row r="524" spans="1:42" ht="15.75" customHeight="1" x14ac:dyDescent="0.1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row>
    <row r="525" spans="1:42" ht="15.75" customHeight="1" x14ac:dyDescent="0.1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row>
    <row r="526" spans="1:42" ht="15.75" customHeight="1" x14ac:dyDescent="0.1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row>
    <row r="527" spans="1:42" ht="15.75" customHeight="1" x14ac:dyDescent="0.1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row>
    <row r="528" spans="1:42" ht="15.75" customHeight="1" x14ac:dyDescent="0.1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row>
    <row r="529" spans="1:42" ht="15.75" customHeight="1" x14ac:dyDescent="0.1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row>
    <row r="530" spans="1:42" ht="15.75" customHeight="1" x14ac:dyDescent="0.1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row>
    <row r="531" spans="1:42" ht="15.75" customHeight="1" x14ac:dyDescent="0.1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row>
    <row r="532" spans="1:42" ht="15.75" customHeight="1" x14ac:dyDescent="0.1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row>
    <row r="533" spans="1:42" ht="15.75" customHeight="1" x14ac:dyDescent="0.1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row>
    <row r="534" spans="1:42" ht="15.75" customHeight="1" x14ac:dyDescent="0.1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row>
    <row r="535" spans="1:42" ht="15.75" customHeight="1" x14ac:dyDescent="0.1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row>
    <row r="536" spans="1:42" ht="15.75" customHeight="1" x14ac:dyDescent="0.1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row>
    <row r="537" spans="1:42" ht="15.75" customHeight="1" x14ac:dyDescent="0.1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row>
    <row r="538" spans="1:42" ht="15.75" customHeight="1" x14ac:dyDescent="0.1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row>
    <row r="539" spans="1:42" ht="15.75" customHeight="1" x14ac:dyDescent="0.1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row>
    <row r="540" spans="1:42" ht="15.75" customHeight="1" x14ac:dyDescent="0.1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row>
    <row r="541" spans="1:42" ht="15.75" customHeight="1" x14ac:dyDescent="0.1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row>
    <row r="542" spans="1:42" ht="15.75" customHeight="1" x14ac:dyDescent="0.1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row>
    <row r="543" spans="1:42" ht="15.75" customHeight="1" x14ac:dyDescent="0.1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row>
    <row r="544" spans="1:42" ht="15.75" customHeight="1" x14ac:dyDescent="0.1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row>
    <row r="545" spans="1:42" ht="15.75" customHeight="1" x14ac:dyDescent="0.1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row>
    <row r="546" spans="1:42" ht="15.75" customHeight="1" x14ac:dyDescent="0.1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row>
    <row r="547" spans="1:42" ht="15.75" customHeight="1" x14ac:dyDescent="0.1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row>
    <row r="548" spans="1:42" ht="15.75" customHeight="1" x14ac:dyDescent="0.1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row>
    <row r="549" spans="1:42" ht="15.75" customHeight="1" x14ac:dyDescent="0.1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row>
    <row r="550" spans="1:42" ht="15.75" customHeight="1" x14ac:dyDescent="0.1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row>
    <row r="551" spans="1:42" ht="15.75" customHeight="1" x14ac:dyDescent="0.1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row>
    <row r="552" spans="1:42" ht="15.75" customHeight="1" x14ac:dyDescent="0.1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row>
    <row r="553" spans="1:42" ht="15.75" customHeight="1" x14ac:dyDescent="0.1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row>
    <row r="554" spans="1:42" ht="15.75" customHeight="1" x14ac:dyDescent="0.1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row>
    <row r="555" spans="1:42" ht="15.75" customHeight="1" x14ac:dyDescent="0.1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row>
    <row r="556" spans="1:42" ht="15.75" customHeight="1" x14ac:dyDescent="0.1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row>
    <row r="557" spans="1:42" ht="15.75" customHeight="1" x14ac:dyDescent="0.1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row>
    <row r="558" spans="1:42" ht="15.75" customHeight="1" x14ac:dyDescent="0.1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row>
    <row r="559" spans="1:42" ht="15.75" customHeight="1" x14ac:dyDescent="0.1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row>
    <row r="560" spans="1:42" ht="15.75" customHeight="1" x14ac:dyDescent="0.1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row>
    <row r="561" spans="1:42" ht="15.75" customHeight="1" x14ac:dyDescent="0.1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row>
    <row r="562" spans="1:42" ht="15.75" customHeight="1" x14ac:dyDescent="0.1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row>
    <row r="563" spans="1:42" ht="15.75" customHeight="1" x14ac:dyDescent="0.1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row>
    <row r="564" spans="1:42" ht="15.75" customHeight="1" x14ac:dyDescent="0.1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row>
    <row r="565" spans="1:42" ht="15.75" customHeight="1" x14ac:dyDescent="0.1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row>
    <row r="566" spans="1:42" ht="15.75" customHeight="1" x14ac:dyDescent="0.1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row>
    <row r="567" spans="1:42" ht="15.75" customHeight="1" x14ac:dyDescent="0.1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row>
    <row r="568" spans="1:42" ht="15.75" customHeight="1" x14ac:dyDescent="0.1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row>
    <row r="569" spans="1:42" ht="15.75" customHeight="1" x14ac:dyDescent="0.1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row>
    <row r="570" spans="1:42" ht="15.75" customHeight="1" x14ac:dyDescent="0.1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row>
    <row r="571" spans="1:42" ht="15.75" customHeight="1" x14ac:dyDescent="0.1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row>
    <row r="572" spans="1:42" ht="15.75" customHeight="1" x14ac:dyDescent="0.1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row>
    <row r="573" spans="1:42" ht="15.75" customHeight="1" x14ac:dyDescent="0.1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row>
    <row r="574" spans="1:42" ht="15.75" customHeight="1" x14ac:dyDescent="0.1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row>
    <row r="575" spans="1:42" ht="15.75" customHeight="1" x14ac:dyDescent="0.1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row>
    <row r="576" spans="1:42" ht="15.75" customHeight="1" x14ac:dyDescent="0.1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row>
    <row r="577" spans="1:42" ht="15.75" customHeight="1" x14ac:dyDescent="0.1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row>
    <row r="578" spans="1:42" ht="15.75" customHeight="1" x14ac:dyDescent="0.1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row>
    <row r="579" spans="1:42" ht="15.75" customHeight="1" x14ac:dyDescent="0.1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row>
    <row r="580" spans="1:42" ht="15.75" customHeight="1" x14ac:dyDescent="0.1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row>
    <row r="581" spans="1:42" ht="15.75" customHeight="1" x14ac:dyDescent="0.1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row>
    <row r="582" spans="1:42" ht="15.75" customHeight="1" x14ac:dyDescent="0.1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row>
    <row r="583" spans="1:42" ht="15.75" customHeight="1" x14ac:dyDescent="0.1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row>
    <row r="584" spans="1:42" ht="15.75" customHeight="1" x14ac:dyDescent="0.1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row>
    <row r="585" spans="1:42" ht="15.75" customHeight="1" x14ac:dyDescent="0.1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row>
    <row r="586" spans="1:42" ht="15.75" customHeight="1" x14ac:dyDescent="0.1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row>
    <row r="587" spans="1:42" ht="15.75" customHeight="1" x14ac:dyDescent="0.1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row>
    <row r="588" spans="1:42" ht="15.75" customHeight="1" x14ac:dyDescent="0.1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row>
    <row r="589" spans="1:42" ht="15.75" customHeight="1" x14ac:dyDescent="0.1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row>
    <row r="590" spans="1:42" ht="15.75" customHeight="1" x14ac:dyDescent="0.1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row>
    <row r="591" spans="1:42" ht="15.75" customHeight="1" x14ac:dyDescent="0.1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row>
    <row r="592" spans="1:42" ht="15.75" customHeight="1" x14ac:dyDescent="0.1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row>
    <row r="593" spans="1:42" ht="15.75" customHeight="1" x14ac:dyDescent="0.1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row>
    <row r="594" spans="1:42" ht="15.75" customHeight="1" x14ac:dyDescent="0.1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row>
    <row r="595" spans="1:42" ht="15.75" customHeight="1" x14ac:dyDescent="0.1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row>
    <row r="596" spans="1:42" ht="15.75" customHeight="1" x14ac:dyDescent="0.1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row>
    <row r="597" spans="1:42" ht="15.75" customHeight="1" x14ac:dyDescent="0.1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row>
    <row r="598" spans="1:42" ht="15.75" customHeight="1" x14ac:dyDescent="0.1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row>
    <row r="599" spans="1:42" ht="15.75" customHeight="1" x14ac:dyDescent="0.1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row>
    <row r="600" spans="1:42" ht="15.75" customHeight="1" x14ac:dyDescent="0.1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row>
    <row r="601" spans="1:42" ht="15.75" customHeight="1" x14ac:dyDescent="0.1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row>
    <row r="602" spans="1:42" ht="15.75" customHeight="1" x14ac:dyDescent="0.1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row>
    <row r="603" spans="1:42" ht="15.75" customHeight="1" x14ac:dyDescent="0.1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row>
    <row r="604" spans="1:42" ht="15.75" customHeight="1" x14ac:dyDescent="0.1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row>
    <row r="605" spans="1:42" ht="15.75" customHeight="1" x14ac:dyDescent="0.1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row>
    <row r="606" spans="1:42" ht="15.75" customHeight="1" x14ac:dyDescent="0.1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row>
    <row r="607" spans="1:42" ht="15.75" customHeight="1" x14ac:dyDescent="0.1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row>
    <row r="608" spans="1:42" ht="15.75" customHeight="1" x14ac:dyDescent="0.1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row>
    <row r="609" spans="1:42" ht="15.75" customHeight="1" x14ac:dyDescent="0.1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row>
    <row r="610" spans="1:42" ht="15.75" customHeight="1" x14ac:dyDescent="0.1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row>
    <row r="611" spans="1:42" ht="15.75" customHeight="1" x14ac:dyDescent="0.1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row>
    <row r="612" spans="1:42" ht="15.75" customHeight="1" x14ac:dyDescent="0.1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row>
    <row r="613" spans="1:42" ht="15.75" customHeight="1" x14ac:dyDescent="0.1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row>
    <row r="614" spans="1:42" ht="15.75" customHeight="1" x14ac:dyDescent="0.1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row>
    <row r="615" spans="1:42" ht="15.75" customHeight="1" x14ac:dyDescent="0.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row>
    <row r="616" spans="1:42" ht="15.75" customHeight="1" x14ac:dyDescent="0.1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row>
    <row r="617" spans="1:42" ht="15.75" customHeight="1" x14ac:dyDescent="0.1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row>
    <row r="618" spans="1:42" ht="15.75" customHeight="1" x14ac:dyDescent="0.1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row>
    <row r="619" spans="1:42" ht="15.75" customHeight="1" x14ac:dyDescent="0.1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row>
    <row r="620" spans="1:42" ht="15.75" customHeight="1" x14ac:dyDescent="0.1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row>
    <row r="621" spans="1:42" ht="15.75" customHeight="1" x14ac:dyDescent="0.1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row>
    <row r="622" spans="1:42" ht="15.75" customHeight="1" x14ac:dyDescent="0.1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row>
    <row r="623" spans="1:42" ht="15.75" customHeight="1" x14ac:dyDescent="0.1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row>
    <row r="624" spans="1:42" ht="15.75" customHeight="1" x14ac:dyDescent="0.1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row>
    <row r="625" spans="1:42" ht="15.75" customHeight="1" x14ac:dyDescent="0.1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row>
    <row r="626" spans="1:42" ht="15.75" customHeight="1" x14ac:dyDescent="0.1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row>
    <row r="627" spans="1:42" ht="15.75" customHeight="1" x14ac:dyDescent="0.1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row>
    <row r="628" spans="1:42" ht="15.75" customHeight="1" x14ac:dyDescent="0.1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row>
    <row r="629" spans="1:42" ht="15.75" customHeight="1" x14ac:dyDescent="0.1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row>
    <row r="630" spans="1:42" ht="15.75" customHeight="1" x14ac:dyDescent="0.1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row>
    <row r="631" spans="1:42" ht="15.75" customHeight="1" x14ac:dyDescent="0.1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row>
    <row r="632" spans="1:42" ht="15.75" customHeight="1" x14ac:dyDescent="0.1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row>
    <row r="633" spans="1:42" ht="15.75" customHeight="1" x14ac:dyDescent="0.1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row>
    <row r="634" spans="1:42" ht="15.75" customHeight="1" x14ac:dyDescent="0.1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row>
    <row r="635" spans="1:42" ht="15.75" customHeight="1" x14ac:dyDescent="0.1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row>
    <row r="636" spans="1:42" ht="15.75" customHeight="1" x14ac:dyDescent="0.1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row>
    <row r="637" spans="1:42" ht="15.75" customHeight="1" x14ac:dyDescent="0.1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row>
    <row r="638" spans="1:42" ht="15.75" customHeight="1" x14ac:dyDescent="0.1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row>
    <row r="639" spans="1:42" ht="15.75" customHeight="1" x14ac:dyDescent="0.1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row>
    <row r="640" spans="1:42" ht="15.75" customHeight="1" x14ac:dyDescent="0.1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row>
    <row r="641" spans="1:42" ht="15.75" customHeight="1" x14ac:dyDescent="0.1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row>
    <row r="642" spans="1:42" ht="15.75" customHeight="1" x14ac:dyDescent="0.1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row>
    <row r="643" spans="1:42" ht="15.75" customHeight="1" x14ac:dyDescent="0.1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row>
    <row r="644" spans="1:42" ht="15.75" customHeight="1" x14ac:dyDescent="0.1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row>
    <row r="645" spans="1:42" ht="15.75" customHeight="1" x14ac:dyDescent="0.1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row>
    <row r="646" spans="1:42" ht="15.75" customHeight="1" x14ac:dyDescent="0.1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row>
    <row r="647" spans="1:42" ht="15.75" customHeight="1" x14ac:dyDescent="0.1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row>
    <row r="648" spans="1:42" ht="15.75" customHeight="1" x14ac:dyDescent="0.1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row>
    <row r="649" spans="1:42" ht="15.75" customHeight="1" x14ac:dyDescent="0.1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row>
    <row r="650" spans="1:42" ht="15.75" customHeight="1" x14ac:dyDescent="0.1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row>
    <row r="651" spans="1:42" ht="15.75" customHeight="1" x14ac:dyDescent="0.1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row>
    <row r="652" spans="1:42" ht="15.75" customHeight="1" x14ac:dyDescent="0.1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row>
    <row r="653" spans="1:42" ht="15.75" customHeight="1" x14ac:dyDescent="0.1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row>
    <row r="654" spans="1:42" ht="15.75" customHeight="1" x14ac:dyDescent="0.1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row>
    <row r="655" spans="1:42" ht="15.75" customHeight="1" x14ac:dyDescent="0.1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row>
    <row r="656" spans="1:42" ht="15.75" customHeight="1" x14ac:dyDescent="0.1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row>
    <row r="657" spans="1:42" ht="15.75" customHeight="1" x14ac:dyDescent="0.1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row>
    <row r="658" spans="1:42" ht="15.75" customHeight="1" x14ac:dyDescent="0.1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row>
    <row r="659" spans="1:42" ht="15.75" customHeight="1" x14ac:dyDescent="0.1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row>
    <row r="660" spans="1:42" ht="15.75" customHeight="1" x14ac:dyDescent="0.1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row>
    <row r="661" spans="1:42" ht="15.75" customHeight="1" x14ac:dyDescent="0.1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row>
    <row r="662" spans="1:42" ht="15.75" customHeight="1" x14ac:dyDescent="0.1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row>
    <row r="663" spans="1:42" ht="15.75" customHeight="1" x14ac:dyDescent="0.1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row>
    <row r="664" spans="1:42" ht="15.75" customHeight="1" x14ac:dyDescent="0.1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row>
    <row r="665" spans="1:42" ht="15.75" customHeight="1" x14ac:dyDescent="0.1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row>
    <row r="666" spans="1:42" ht="15.75" customHeight="1" x14ac:dyDescent="0.1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row>
    <row r="667" spans="1:42" ht="15.75" customHeight="1" x14ac:dyDescent="0.1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row>
    <row r="668" spans="1:42" ht="15.75" customHeight="1" x14ac:dyDescent="0.1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row>
    <row r="669" spans="1:42" ht="15.75" customHeight="1" x14ac:dyDescent="0.1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row>
    <row r="670" spans="1:42" ht="15.75" customHeight="1" x14ac:dyDescent="0.1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row>
    <row r="671" spans="1:42" ht="15.75" customHeight="1" x14ac:dyDescent="0.1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row>
    <row r="672" spans="1:42" ht="15.75" customHeight="1" x14ac:dyDescent="0.1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row>
    <row r="673" spans="1:42" ht="15.75" customHeight="1" x14ac:dyDescent="0.1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row>
    <row r="674" spans="1:42" ht="15.75" customHeight="1" x14ac:dyDescent="0.1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row>
    <row r="675" spans="1:42" ht="15.75" customHeight="1" x14ac:dyDescent="0.1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row>
    <row r="676" spans="1:42" ht="15.75" customHeight="1" x14ac:dyDescent="0.1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row>
    <row r="677" spans="1:42" ht="15.75" customHeight="1" x14ac:dyDescent="0.1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row>
    <row r="678" spans="1:42" ht="15.75" customHeight="1" x14ac:dyDescent="0.1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row>
    <row r="679" spans="1:42" ht="15.75" customHeight="1" x14ac:dyDescent="0.1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row>
    <row r="680" spans="1:42" ht="15.75" customHeight="1" x14ac:dyDescent="0.1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row>
    <row r="681" spans="1:42" ht="15.75" customHeight="1" x14ac:dyDescent="0.1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row>
    <row r="682" spans="1:42" ht="15.75" customHeight="1" x14ac:dyDescent="0.1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row>
    <row r="683" spans="1:42" ht="15.75" customHeight="1" x14ac:dyDescent="0.1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row>
    <row r="684" spans="1:42" ht="15.75" customHeight="1" x14ac:dyDescent="0.1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row>
    <row r="685" spans="1:42" ht="15.75" customHeight="1" x14ac:dyDescent="0.1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row>
    <row r="686" spans="1:42" ht="15.75" customHeight="1" x14ac:dyDescent="0.1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row>
    <row r="687" spans="1:42" ht="15.75" customHeight="1" x14ac:dyDescent="0.1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row>
    <row r="688" spans="1:42" ht="15.75" customHeight="1" x14ac:dyDescent="0.1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row>
    <row r="689" spans="1:42" ht="15.75" customHeight="1" x14ac:dyDescent="0.1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row>
    <row r="690" spans="1:42" ht="15.75" customHeight="1" x14ac:dyDescent="0.1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row>
    <row r="691" spans="1:42" ht="15.75" customHeight="1" x14ac:dyDescent="0.1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row>
    <row r="692" spans="1:42" ht="15.75" customHeight="1" x14ac:dyDescent="0.1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row>
    <row r="693" spans="1:42" ht="15.75" customHeight="1" x14ac:dyDescent="0.1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row>
    <row r="694" spans="1:42" ht="15.75" customHeight="1" x14ac:dyDescent="0.1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row>
    <row r="695" spans="1:42" ht="15.75" customHeight="1" x14ac:dyDescent="0.1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row>
    <row r="696" spans="1:42" ht="15.75" customHeight="1" x14ac:dyDescent="0.1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row>
    <row r="697" spans="1:42" ht="15.75" customHeight="1" x14ac:dyDescent="0.1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row>
    <row r="698" spans="1:42" ht="15.75" customHeight="1" x14ac:dyDescent="0.1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row>
    <row r="699" spans="1:42" ht="15.75" customHeight="1" x14ac:dyDescent="0.1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row>
    <row r="700" spans="1:42" ht="15.75" customHeight="1" x14ac:dyDescent="0.1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row>
    <row r="701" spans="1:42" ht="15.75" customHeight="1" x14ac:dyDescent="0.1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row>
    <row r="702" spans="1:42" ht="15.75" customHeight="1" x14ac:dyDescent="0.1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row>
    <row r="703" spans="1:42" ht="15.75" customHeight="1" x14ac:dyDescent="0.1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row>
    <row r="704" spans="1:42" ht="15.75" customHeight="1" x14ac:dyDescent="0.1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row>
    <row r="705" spans="1:42" ht="15.75" customHeight="1" x14ac:dyDescent="0.1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row>
    <row r="706" spans="1:42" ht="15.75" customHeight="1" x14ac:dyDescent="0.1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row>
    <row r="707" spans="1:42" ht="15.75" customHeight="1" x14ac:dyDescent="0.1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row>
    <row r="708" spans="1:42" ht="15.75" customHeight="1" x14ac:dyDescent="0.1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row>
    <row r="709" spans="1:42" ht="15.75" customHeight="1" x14ac:dyDescent="0.1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row>
    <row r="710" spans="1:42" ht="15.75" customHeight="1" x14ac:dyDescent="0.1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row>
    <row r="711" spans="1:42" ht="15.75" customHeight="1" x14ac:dyDescent="0.1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row>
    <row r="712" spans="1:42" ht="15.75" customHeight="1" x14ac:dyDescent="0.1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row>
    <row r="713" spans="1:42" ht="15.75" customHeight="1" x14ac:dyDescent="0.1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row>
    <row r="714" spans="1:42" ht="15.75" customHeight="1" x14ac:dyDescent="0.1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row>
    <row r="715" spans="1:42" ht="15.75" customHeight="1" x14ac:dyDescent="0.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row>
    <row r="716" spans="1:42" ht="15.75" customHeight="1" x14ac:dyDescent="0.1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row>
    <row r="717" spans="1:42" ht="15.75" customHeight="1" x14ac:dyDescent="0.1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row>
    <row r="718" spans="1:42" ht="15.75" customHeight="1" x14ac:dyDescent="0.1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row>
    <row r="719" spans="1:42" ht="15.75" customHeight="1" x14ac:dyDescent="0.1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row>
    <row r="720" spans="1:42" ht="15.75" customHeight="1" x14ac:dyDescent="0.1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row>
    <row r="721" spans="1:42" ht="15.75" customHeight="1" x14ac:dyDescent="0.1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row>
    <row r="722" spans="1:42" ht="15.75" customHeight="1" x14ac:dyDescent="0.1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row>
    <row r="723" spans="1:42" ht="15.75" customHeight="1" x14ac:dyDescent="0.1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row>
    <row r="724" spans="1:42" ht="15.75" customHeight="1" x14ac:dyDescent="0.1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row>
    <row r="725" spans="1:42" ht="15.75" customHeight="1" x14ac:dyDescent="0.1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row>
    <row r="726" spans="1:42" ht="15.75" customHeight="1" x14ac:dyDescent="0.1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row>
    <row r="727" spans="1:42" ht="15.75" customHeight="1" x14ac:dyDescent="0.1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row>
    <row r="728" spans="1:42" ht="15.75" customHeight="1" x14ac:dyDescent="0.1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row>
    <row r="729" spans="1:42" ht="15.75" customHeight="1" x14ac:dyDescent="0.1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row>
    <row r="730" spans="1:42" ht="15.75" customHeight="1" x14ac:dyDescent="0.1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row>
    <row r="731" spans="1:42" ht="15.75" customHeight="1" x14ac:dyDescent="0.1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row>
    <row r="732" spans="1:42" ht="15.75" customHeight="1" x14ac:dyDescent="0.1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row>
    <row r="733" spans="1:42" ht="15.75" customHeight="1" x14ac:dyDescent="0.1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row>
    <row r="734" spans="1:42" ht="15.75" customHeight="1" x14ac:dyDescent="0.1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row>
    <row r="735" spans="1:42" ht="15.75" customHeight="1" x14ac:dyDescent="0.1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row>
    <row r="736" spans="1:42" ht="15.75" customHeight="1" x14ac:dyDescent="0.1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row>
    <row r="737" spans="1:42" ht="15.75" customHeight="1" x14ac:dyDescent="0.1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row>
    <row r="738" spans="1:42" ht="15.75" customHeight="1" x14ac:dyDescent="0.1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row>
    <row r="739" spans="1:42" ht="15.75" customHeight="1" x14ac:dyDescent="0.1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row>
    <row r="740" spans="1:42" ht="15.75" customHeight="1" x14ac:dyDescent="0.1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row>
    <row r="741" spans="1:42" ht="15.75" customHeight="1" x14ac:dyDescent="0.1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row>
    <row r="742" spans="1:42" ht="15.75" customHeight="1" x14ac:dyDescent="0.1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row>
    <row r="743" spans="1:42" ht="15.75" customHeight="1" x14ac:dyDescent="0.1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row>
    <row r="744" spans="1:42" ht="15.75" customHeight="1" x14ac:dyDescent="0.1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row>
    <row r="745" spans="1:42" ht="15.75" customHeight="1" x14ac:dyDescent="0.1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row>
    <row r="746" spans="1:42" ht="15.75" customHeight="1" x14ac:dyDescent="0.1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row>
    <row r="747" spans="1:42" ht="15.75" customHeight="1" x14ac:dyDescent="0.1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row>
    <row r="748" spans="1:42" ht="15.75" customHeight="1" x14ac:dyDescent="0.1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row>
    <row r="749" spans="1:42" ht="15.75" customHeight="1" x14ac:dyDescent="0.1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row>
    <row r="750" spans="1:42" ht="15.75" customHeight="1" x14ac:dyDescent="0.1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row>
    <row r="751" spans="1:42" ht="15.75" customHeight="1" x14ac:dyDescent="0.1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row>
    <row r="752" spans="1:42" ht="15.75" customHeight="1" x14ac:dyDescent="0.1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row>
    <row r="753" spans="1:42" ht="15.75" customHeight="1" x14ac:dyDescent="0.1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row>
    <row r="754" spans="1:42" ht="15.75" customHeight="1" x14ac:dyDescent="0.1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row>
    <row r="755" spans="1:42" ht="15.75" customHeight="1" x14ac:dyDescent="0.1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row>
    <row r="756" spans="1:42" ht="15.75" customHeight="1" x14ac:dyDescent="0.1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row>
    <row r="757" spans="1:42" ht="15.75" customHeight="1" x14ac:dyDescent="0.1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row>
    <row r="758" spans="1:42" ht="15.75" customHeight="1" x14ac:dyDescent="0.1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row>
    <row r="759" spans="1:42" ht="15.75" customHeight="1" x14ac:dyDescent="0.1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row>
    <row r="760" spans="1:42" ht="15.75" customHeight="1" x14ac:dyDescent="0.1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row>
    <row r="761" spans="1:42" ht="15.75" customHeight="1" x14ac:dyDescent="0.1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row>
    <row r="762" spans="1:42" ht="15.75" customHeight="1" x14ac:dyDescent="0.1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row>
    <row r="763" spans="1:42" ht="15.75" customHeight="1" x14ac:dyDescent="0.1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row>
    <row r="764" spans="1:42" ht="15.75" customHeight="1" x14ac:dyDescent="0.1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row>
    <row r="765" spans="1:42" ht="15.75" customHeight="1" x14ac:dyDescent="0.1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row>
    <row r="766" spans="1:42" ht="15.75" customHeight="1" x14ac:dyDescent="0.1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row>
    <row r="767" spans="1:42" ht="15.75" customHeight="1" x14ac:dyDescent="0.1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row>
    <row r="768" spans="1:42" ht="15.75" customHeight="1" x14ac:dyDescent="0.1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row>
    <row r="769" spans="1:42" ht="15.75" customHeight="1" x14ac:dyDescent="0.1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row>
    <row r="770" spans="1:42" ht="15.75" customHeight="1" x14ac:dyDescent="0.1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row>
    <row r="771" spans="1:42" ht="15.75" customHeight="1" x14ac:dyDescent="0.1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row>
    <row r="772" spans="1:42" ht="15.75" customHeight="1" x14ac:dyDescent="0.1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row>
    <row r="773" spans="1:42" ht="15.75" customHeight="1" x14ac:dyDescent="0.1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row>
    <row r="774" spans="1:42" ht="15.75" customHeight="1" x14ac:dyDescent="0.1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row>
    <row r="775" spans="1:42" ht="15.75" customHeight="1" x14ac:dyDescent="0.1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row>
    <row r="776" spans="1:42" ht="15.75" customHeight="1" x14ac:dyDescent="0.1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row>
    <row r="777" spans="1:42" ht="15.75" customHeight="1" x14ac:dyDescent="0.1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row>
    <row r="778" spans="1:42" ht="15.75" customHeight="1" x14ac:dyDescent="0.1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row>
    <row r="779" spans="1:42" ht="15.75" customHeight="1" x14ac:dyDescent="0.1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row>
    <row r="780" spans="1:42" ht="15.75" customHeight="1" x14ac:dyDescent="0.1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row>
    <row r="781" spans="1:42" ht="15.75" customHeight="1" x14ac:dyDescent="0.1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row>
    <row r="782" spans="1:42" ht="15.75" customHeight="1" x14ac:dyDescent="0.1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row>
    <row r="783" spans="1:42" ht="15.75" customHeight="1" x14ac:dyDescent="0.1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row>
    <row r="784" spans="1:42" ht="15.75" customHeight="1" x14ac:dyDescent="0.1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row>
    <row r="785" spans="1:42" ht="15.75" customHeight="1" x14ac:dyDescent="0.1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row>
    <row r="786" spans="1:42" ht="15.75" customHeight="1" x14ac:dyDescent="0.1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row>
    <row r="787" spans="1:42" ht="15.75" customHeight="1" x14ac:dyDescent="0.1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row>
    <row r="788" spans="1:42" ht="15.75" customHeight="1" x14ac:dyDescent="0.1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row>
    <row r="789" spans="1:42" ht="15.75" customHeight="1" x14ac:dyDescent="0.1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row>
    <row r="790" spans="1:42" ht="15.75" customHeight="1" x14ac:dyDescent="0.1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row>
    <row r="791" spans="1:42" ht="15.75" customHeight="1" x14ac:dyDescent="0.1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row>
    <row r="792" spans="1:42" ht="15.75" customHeight="1" x14ac:dyDescent="0.1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row>
    <row r="793" spans="1:42" ht="15.75" customHeight="1" x14ac:dyDescent="0.1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row>
    <row r="794" spans="1:42" ht="15.75" customHeight="1" x14ac:dyDescent="0.1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row>
    <row r="795" spans="1:42" ht="15.75" customHeight="1" x14ac:dyDescent="0.1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row>
    <row r="796" spans="1:42" ht="15.75" customHeight="1" x14ac:dyDescent="0.1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row>
    <row r="797" spans="1:42" ht="15.75" customHeight="1" x14ac:dyDescent="0.1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row>
    <row r="798" spans="1:42" ht="15.75" customHeight="1" x14ac:dyDescent="0.1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row>
    <row r="799" spans="1:42" ht="15.75" customHeight="1" x14ac:dyDescent="0.1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row>
    <row r="800" spans="1:42" ht="15.75" customHeight="1" x14ac:dyDescent="0.1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row>
    <row r="801" spans="1:42" ht="15.75" customHeight="1" x14ac:dyDescent="0.1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row>
    <row r="802" spans="1:42" ht="15.75" customHeight="1" x14ac:dyDescent="0.1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row>
    <row r="803" spans="1:42" ht="15.75" customHeight="1" x14ac:dyDescent="0.1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row>
    <row r="804" spans="1:42" ht="15.75" customHeight="1" x14ac:dyDescent="0.1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row>
    <row r="805" spans="1:42" ht="15.75" customHeight="1" x14ac:dyDescent="0.1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row>
    <row r="806" spans="1:42" ht="15.75" customHeight="1" x14ac:dyDescent="0.1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row>
    <row r="807" spans="1:42" ht="15.75" customHeight="1" x14ac:dyDescent="0.1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row>
    <row r="808" spans="1:42" ht="15.75" customHeight="1" x14ac:dyDescent="0.1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row>
    <row r="809" spans="1:42" ht="15.75" customHeight="1" x14ac:dyDescent="0.1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row>
    <row r="810" spans="1:42" ht="15.75" customHeight="1" x14ac:dyDescent="0.1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row>
    <row r="811" spans="1:42" ht="15.75" customHeight="1" x14ac:dyDescent="0.1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row>
    <row r="812" spans="1:42" ht="15.75" customHeight="1" x14ac:dyDescent="0.1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row>
    <row r="813" spans="1:42" ht="15.75" customHeight="1" x14ac:dyDescent="0.1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row>
    <row r="814" spans="1:42" ht="15.75" customHeight="1" x14ac:dyDescent="0.1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row>
    <row r="815" spans="1:42" ht="15.75" customHeight="1" x14ac:dyDescent="0.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row>
    <row r="816" spans="1:42" ht="15.75" customHeight="1" x14ac:dyDescent="0.1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row>
    <row r="817" spans="1:42" ht="15.75" customHeight="1" x14ac:dyDescent="0.1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row>
    <row r="818" spans="1:42" ht="15.75" customHeight="1" x14ac:dyDescent="0.1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row>
    <row r="819" spans="1:42" ht="15.75" customHeight="1" x14ac:dyDescent="0.1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row>
    <row r="820" spans="1:42" ht="15.75" customHeight="1" x14ac:dyDescent="0.1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row>
    <row r="821" spans="1:42" ht="15.75" customHeight="1" x14ac:dyDescent="0.1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row>
    <row r="822" spans="1:42" ht="15.75" customHeight="1" x14ac:dyDescent="0.1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row>
    <row r="823" spans="1:42" ht="15.75" customHeight="1" x14ac:dyDescent="0.1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row>
    <row r="824" spans="1:42" ht="15.75" customHeight="1" x14ac:dyDescent="0.1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row>
    <row r="825" spans="1:42" ht="15.75" customHeight="1" x14ac:dyDescent="0.1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row>
    <row r="826" spans="1:42" ht="15.75" customHeight="1" x14ac:dyDescent="0.1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row>
    <row r="827" spans="1:42" ht="15.75" customHeight="1" x14ac:dyDescent="0.1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row>
    <row r="828" spans="1:42" ht="15.75" customHeight="1" x14ac:dyDescent="0.1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row>
    <row r="829" spans="1:42" ht="15.75" customHeight="1" x14ac:dyDescent="0.1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row>
    <row r="830" spans="1:42" ht="15.75" customHeight="1" x14ac:dyDescent="0.1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row>
    <row r="831" spans="1:42" ht="15.75" customHeight="1" x14ac:dyDescent="0.1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row>
    <row r="832" spans="1:42" ht="15.75" customHeight="1" x14ac:dyDescent="0.1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row>
    <row r="833" spans="1:42" ht="15.75" customHeight="1" x14ac:dyDescent="0.1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row>
    <row r="834" spans="1:42" ht="15.75" customHeight="1" x14ac:dyDescent="0.1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row>
    <row r="835" spans="1:42" ht="15.75" customHeight="1" x14ac:dyDescent="0.1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row>
    <row r="836" spans="1:42" ht="15.75" customHeight="1" x14ac:dyDescent="0.1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row>
    <row r="837" spans="1:42" ht="15.75" customHeight="1" x14ac:dyDescent="0.1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row>
    <row r="838" spans="1:42" ht="15.75" customHeight="1" x14ac:dyDescent="0.1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row>
    <row r="839" spans="1:42" ht="15.75" customHeight="1" x14ac:dyDescent="0.1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row>
    <row r="840" spans="1:42" ht="15.75" customHeight="1" x14ac:dyDescent="0.1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row>
    <row r="841" spans="1:42" ht="15.75" customHeight="1" x14ac:dyDescent="0.1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row>
    <row r="842" spans="1:42" ht="15.75" customHeight="1" x14ac:dyDescent="0.1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row>
    <row r="843" spans="1:42" ht="15.75" customHeight="1" x14ac:dyDescent="0.1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row>
    <row r="844" spans="1:42" ht="15.75" customHeight="1" x14ac:dyDescent="0.1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row>
    <row r="845" spans="1:42" ht="15.75" customHeight="1" x14ac:dyDescent="0.1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row>
    <row r="846" spans="1:42" ht="15.75" customHeight="1" x14ac:dyDescent="0.1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row>
    <row r="847" spans="1:42" ht="15.75" customHeight="1" x14ac:dyDescent="0.1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row>
    <row r="848" spans="1:42" ht="15.75" customHeight="1" x14ac:dyDescent="0.1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row>
    <row r="849" spans="1:42" ht="15.75" customHeight="1" x14ac:dyDescent="0.1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row>
    <row r="850" spans="1:42" ht="15.75" customHeight="1" x14ac:dyDescent="0.1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row>
    <row r="851" spans="1:42" ht="15.75" customHeight="1" x14ac:dyDescent="0.1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row>
    <row r="852" spans="1:42" ht="15.75" customHeight="1" x14ac:dyDescent="0.1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row>
    <row r="853" spans="1:42" ht="15.75" customHeight="1" x14ac:dyDescent="0.1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row>
    <row r="854" spans="1:42" ht="15.75" customHeight="1" x14ac:dyDescent="0.1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row>
    <row r="855" spans="1:42" ht="15.75" customHeight="1" x14ac:dyDescent="0.1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row>
    <row r="856" spans="1:42" ht="15.75" customHeight="1" x14ac:dyDescent="0.1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row>
    <row r="857" spans="1:42" ht="15.75" customHeight="1" x14ac:dyDescent="0.1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row>
    <row r="858" spans="1:42" ht="15.75" customHeight="1" x14ac:dyDescent="0.1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row>
    <row r="859" spans="1:42" ht="15.75" customHeight="1" x14ac:dyDescent="0.1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row>
    <row r="860" spans="1:42" ht="15.75" customHeight="1" x14ac:dyDescent="0.1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row>
    <row r="861" spans="1:42" ht="15.75" customHeight="1" x14ac:dyDescent="0.1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row>
    <row r="862" spans="1:42" ht="15.75" customHeight="1" x14ac:dyDescent="0.1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row>
    <row r="863" spans="1:42" ht="15.75" customHeight="1" x14ac:dyDescent="0.1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row>
    <row r="864" spans="1:42" ht="15.75" customHeight="1" x14ac:dyDescent="0.1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row>
    <row r="865" spans="1:42" ht="15.75" customHeight="1" x14ac:dyDescent="0.1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row>
    <row r="866" spans="1:42" ht="15.75" customHeight="1" x14ac:dyDescent="0.1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row>
    <row r="867" spans="1:42" ht="15.75" customHeight="1" x14ac:dyDescent="0.1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row>
    <row r="868" spans="1:42" ht="15.75" customHeight="1" x14ac:dyDescent="0.1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row>
    <row r="869" spans="1:42" ht="15.75" customHeight="1" x14ac:dyDescent="0.1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row>
    <row r="870" spans="1:42" ht="15.75" customHeight="1" x14ac:dyDescent="0.1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row>
    <row r="871" spans="1:42" ht="15.75" customHeight="1" x14ac:dyDescent="0.1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row>
    <row r="872" spans="1:42" ht="15.75" customHeight="1" x14ac:dyDescent="0.1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row>
    <row r="873" spans="1:42" ht="15.75" customHeight="1" x14ac:dyDescent="0.1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row>
    <row r="874" spans="1:42" ht="15.75" customHeight="1" x14ac:dyDescent="0.1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row>
    <row r="875" spans="1:42" ht="15.75" customHeight="1" x14ac:dyDescent="0.1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row>
    <row r="876" spans="1:42" ht="15.75" customHeight="1" x14ac:dyDescent="0.1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row>
    <row r="877" spans="1:42" ht="15.75" customHeight="1" x14ac:dyDescent="0.1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row>
    <row r="878" spans="1:42" ht="15.75" customHeight="1" x14ac:dyDescent="0.1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row>
    <row r="879" spans="1:42" ht="15.75" customHeight="1" x14ac:dyDescent="0.1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row>
    <row r="880" spans="1:42" ht="15.75" customHeight="1" x14ac:dyDescent="0.1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row>
    <row r="881" spans="1:42" ht="15.75" customHeight="1" x14ac:dyDescent="0.1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row>
    <row r="882" spans="1:42" ht="15.75" customHeight="1" x14ac:dyDescent="0.1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row>
    <row r="883" spans="1:42" ht="15.75" customHeight="1" x14ac:dyDescent="0.1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row>
    <row r="884" spans="1:42" ht="15.75" customHeight="1" x14ac:dyDescent="0.1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row>
    <row r="885" spans="1:42" ht="15.75" customHeight="1" x14ac:dyDescent="0.1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row>
    <row r="886" spans="1:42" ht="15.75" customHeight="1" x14ac:dyDescent="0.1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row>
    <row r="887" spans="1:42" ht="15.75" customHeight="1" x14ac:dyDescent="0.1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row>
    <row r="888" spans="1:42" ht="15.75" customHeight="1" x14ac:dyDescent="0.1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row>
    <row r="889" spans="1:42" ht="15.75" customHeight="1" x14ac:dyDescent="0.1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row>
    <row r="890" spans="1:42" ht="15.75" customHeight="1" x14ac:dyDescent="0.1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row>
    <row r="891" spans="1:42" ht="15.75" customHeight="1" x14ac:dyDescent="0.1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row>
    <row r="892" spans="1:42" ht="15.75" customHeight="1" x14ac:dyDescent="0.1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row>
    <row r="893" spans="1:42" ht="15.75" customHeight="1" x14ac:dyDescent="0.1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row>
    <row r="894" spans="1:42" ht="15.75" customHeight="1" x14ac:dyDescent="0.1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row>
    <row r="895" spans="1:42" ht="15.75" customHeight="1" x14ac:dyDescent="0.1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row>
    <row r="896" spans="1:42" ht="15.75" customHeight="1" x14ac:dyDescent="0.1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row>
    <row r="897" spans="1:42" ht="15.75" customHeight="1" x14ac:dyDescent="0.1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row>
    <row r="898" spans="1:42" ht="15.75" customHeight="1" x14ac:dyDescent="0.1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row>
    <row r="899" spans="1:42" ht="15.75" customHeight="1" x14ac:dyDescent="0.1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row>
    <row r="900" spans="1:42" ht="15.75" customHeight="1" x14ac:dyDescent="0.1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row>
    <row r="901" spans="1:42" ht="15.75" customHeight="1" x14ac:dyDescent="0.1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row>
    <row r="902" spans="1:42" ht="15.75" customHeight="1" x14ac:dyDescent="0.1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row>
    <row r="903" spans="1:42" ht="15.75" customHeight="1" x14ac:dyDescent="0.1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row>
    <row r="904" spans="1:42" ht="15.75" customHeight="1" x14ac:dyDescent="0.1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row>
    <row r="905" spans="1:42" ht="15.75" customHeight="1" x14ac:dyDescent="0.1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row>
    <row r="906" spans="1:42" ht="15.75" customHeight="1" x14ac:dyDescent="0.1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row>
    <row r="907" spans="1:42" ht="15.75" customHeight="1" x14ac:dyDescent="0.1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row>
    <row r="908" spans="1:42" ht="15.75" customHeight="1" x14ac:dyDescent="0.1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row>
    <row r="909" spans="1:42" ht="15.75" customHeight="1" x14ac:dyDescent="0.1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row>
    <row r="910" spans="1:42" ht="15.75" customHeight="1" x14ac:dyDescent="0.1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row>
    <row r="911" spans="1:42" ht="15.75" customHeight="1" x14ac:dyDescent="0.1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row>
    <row r="912" spans="1:42" ht="15.75" customHeight="1" x14ac:dyDescent="0.1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row>
    <row r="913" spans="1:42" ht="15.75" customHeight="1" x14ac:dyDescent="0.1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row>
    <row r="914" spans="1:42" ht="15.75" customHeight="1" x14ac:dyDescent="0.1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row>
    <row r="915" spans="1:42" ht="15.75" customHeight="1" x14ac:dyDescent="0.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row>
    <row r="916" spans="1:42" ht="15.75" customHeight="1" x14ac:dyDescent="0.1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row>
    <row r="917" spans="1:42" ht="15.75" customHeight="1" x14ac:dyDescent="0.1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row>
    <row r="918" spans="1:42" ht="15.75" customHeight="1" x14ac:dyDescent="0.1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row>
    <row r="919" spans="1:42" ht="15.75" customHeight="1" x14ac:dyDescent="0.1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row>
    <row r="920" spans="1:42" ht="15.75" customHeight="1" x14ac:dyDescent="0.1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row>
    <row r="921" spans="1:42" ht="15.75" customHeight="1" x14ac:dyDescent="0.1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row>
    <row r="922" spans="1:42" ht="15.75" customHeight="1" x14ac:dyDescent="0.1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row>
    <row r="923" spans="1:42" ht="15.75" customHeight="1" x14ac:dyDescent="0.1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row>
    <row r="924" spans="1:42" ht="15.75" customHeight="1" x14ac:dyDescent="0.1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row>
    <row r="925" spans="1:42" ht="15.75" customHeight="1" x14ac:dyDescent="0.1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row>
    <row r="926" spans="1:42" ht="15.75" customHeight="1" x14ac:dyDescent="0.1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row>
    <row r="927" spans="1:42" ht="15.75" customHeight="1" x14ac:dyDescent="0.1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row>
    <row r="928" spans="1:42" ht="15.75" customHeight="1" x14ac:dyDescent="0.1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row>
    <row r="929" spans="1:42" ht="15.75" customHeight="1" x14ac:dyDescent="0.1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row>
    <row r="930" spans="1:42" ht="15.75" customHeight="1" x14ac:dyDescent="0.1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row>
    <row r="931" spans="1:42" ht="15.75" customHeight="1" x14ac:dyDescent="0.1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row>
    <row r="932" spans="1:42" ht="15.75" customHeight="1" x14ac:dyDescent="0.1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row>
    <row r="933" spans="1:42" ht="15.75" customHeight="1" x14ac:dyDescent="0.1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row>
    <row r="934" spans="1:42" ht="15.75" customHeight="1" x14ac:dyDescent="0.1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row>
    <row r="935" spans="1:42" ht="15.75" customHeight="1" x14ac:dyDescent="0.1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row>
    <row r="936" spans="1:42" ht="15.75" customHeight="1" x14ac:dyDescent="0.1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row>
    <row r="937" spans="1:42" ht="15.75" customHeight="1" x14ac:dyDescent="0.1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row>
    <row r="938" spans="1:42" ht="15.75" customHeight="1" x14ac:dyDescent="0.1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row>
    <row r="939" spans="1:42" ht="15.75" customHeight="1" x14ac:dyDescent="0.1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row>
    <row r="940" spans="1:42" ht="15.75" customHeight="1" x14ac:dyDescent="0.1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row>
    <row r="941" spans="1:42" ht="15.75" customHeight="1" x14ac:dyDescent="0.1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row>
    <row r="942" spans="1:42" ht="15.75" customHeight="1" x14ac:dyDescent="0.1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row>
    <row r="943" spans="1:42" ht="15.75" customHeight="1" x14ac:dyDescent="0.1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row>
    <row r="944" spans="1:42" ht="15.75" customHeight="1" x14ac:dyDescent="0.1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row>
    <row r="945" spans="1:42" ht="15.75" customHeight="1" x14ac:dyDescent="0.1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row>
    <row r="946" spans="1:42" ht="15.75" customHeight="1" x14ac:dyDescent="0.1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row>
    <row r="947" spans="1:42" ht="15.75" customHeight="1" x14ac:dyDescent="0.1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row>
    <row r="948" spans="1:42" ht="15.75" customHeight="1" x14ac:dyDescent="0.1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row>
    <row r="949" spans="1:42" ht="15.75" customHeight="1" x14ac:dyDescent="0.1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row>
    <row r="950" spans="1:42" ht="15.75" customHeight="1" x14ac:dyDescent="0.1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row>
    <row r="951" spans="1:42" ht="15.75" customHeight="1" x14ac:dyDescent="0.1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row>
    <row r="952" spans="1:42" ht="15.75" customHeight="1" x14ac:dyDescent="0.1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row>
    <row r="953" spans="1:42" ht="15.75" customHeight="1" x14ac:dyDescent="0.1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row>
    <row r="954" spans="1:42" ht="15.75" customHeight="1" x14ac:dyDescent="0.1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row>
    <row r="955" spans="1:42" ht="15.75" customHeight="1" x14ac:dyDescent="0.1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row>
    <row r="956" spans="1:42" ht="15.75" customHeight="1" x14ac:dyDescent="0.1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row>
    <row r="957" spans="1:42" ht="15.75" customHeight="1" x14ac:dyDescent="0.1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row>
    <row r="958" spans="1:42" ht="15.75" customHeight="1" x14ac:dyDescent="0.1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row>
    <row r="959" spans="1:42" ht="15.75" customHeight="1" x14ac:dyDescent="0.1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row>
    <row r="960" spans="1:42" ht="15.75" customHeight="1" x14ac:dyDescent="0.1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row>
    <row r="961" spans="1:42" ht="15.75" customHeight="1" x14ac:dyDescent="0.1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row>
    <row r="962" spans="1:42" ht="15.75" customHeight="1" x14ac:dyDescent="0.1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row>
    <row r="963" spans="1:42" ht="15.75" customHeight="1" x14ac:dyDescent="0.1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row>
    <row r="964" spans="1:42" ht="15.75" customHeight="1" x14ac:dyDescent="0.1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row>
    <row r="965" spans="1:42" ht="15.75" customHeight="1" x14ac:dyDescent="0.1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row>
    <row r="966" spans="1:42" ht="15.75" customHeight="1" x14ac:dyDescent="0.1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row>
    <row r="967" spans="1:42" ht="15.75" customHeight="1" x14ac:dyDescent="0.1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row>
    <row r="968" spans="1:42" ht="15.75" customHeight="1" x14ac:dyDescent="0.1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row>
    <row r="969" spans="1:42" ht="15.75" customHeight="1" x14ac:dyDescent="0.1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row>
    <row r="970" spans="1:42" ht="15.75" customHeight="1" x14ac:dyDescent="0.1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row>
    <row r="971" spans="1:42" ht="15.75" customHeight="1" x14ac:dyDescent="0.1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row>
    <row r="972" spans="1:42" ht="15.75" customHeight="1" x14ac:dyDescent="0.1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row>
    <row r="973" spans="1:42" ht="15.75" customHeight="1" x14ac:dyDescent="0.1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row>
    <row r="974" spans="1:42" ht="15.75" customHeight="1" x14ac:dyDescent="0.1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row>
    <row r="975" spans="1:42" ht="15.75" customHeight="1" x14ac:dyDescent="0.1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row>
    <row r="976" spans="1:42" ht="15.75" customHeight="1" x14ac:dyDescent="0.1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row>
    <row r="977" spans="1:42" ht="15.75" customHeight="1" x14ac:dyDescent="0.1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row>
    <row r="978" spans="1:42" ht="15.75" customHeight="1" x14ac:dyDescent="0.1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row>
    <row r="979" spans="1:42" ht="15.75" customHeight="1" x14ac:dyDescent="0.1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row>
    <row r="980" spans="1:42" ht="15.75" customHeight="1" x14ac:dyDescent="0.1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row>
    <row r="981" spans="1:42" ht="15.75" customHeight="1" x14ac:dyDescent="0.1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row>
    <row r="982" spans="1:42" ht="15.75" customHeight="1" x14ac:dyDescent="0.1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row>
    <row r="983" spans="1:42" ht="15.75" customHeight="1" x14ac:dyDescent="0.1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row>
    <row r="984" spans="1:42" ht="15.75" customHeight="1" x14ac:dyDescent="0.1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row>
    <row r="985" spans="1:42" ht="15.75" customHeight="1" x14ac:dyDescent="0.1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row>
    <row r="986" spans="1:42" ht="15.75" customHeight="1" x14ac:dyDescent="0.1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row>
    <row r="987" spans="1:42" ht="15.75" customHeight="1" x14ac:dyDescent="0.1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row>
    <row r="988" spans="1:42" ht="15.75" customHeight="1" x14ac:dyDescent="0.1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row>
    <row r="989" spans="1:42" ht="15.75" customHeight="1" x14ac:dyDescent="0.1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row>
    <row r="990" spans="1:42" ht="15.75" customHeight="1" x14ac:dyDescent="0.1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row>
    <row r="991" spans="1:42" ht="15.75" customHeight="1" x14ac:dyDescent="0.1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row>
    <row r="992" spans="1:42" ht="15.75" customHeight="1" x14ac:dyDescent="0.1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row>
    <row r="993" spans="1:42" ht="15.75" customHeight="1" x14ac:dyDescent="0.1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row>
    <row r="994" spans="1:42" ht="15.75" customHeight="1" x14ac:dyDescent="0.1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row>
    <row r="995" spans="1:42" ht="15.75" customHeight="1" x14ac:dyDescent="0.1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row>
    <row r="996" spans="1:42" ht="15.75" customHeight="1" x14ac:dyDescent="0.1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row>
    <row r="997" spans="1:42" ht="15.75" customHeight="1" x14ac:dyDescent="0.1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row>
    <row r="998" spans="1:42" ht="15.75" customHeight="1" x14ac:dyDescent="0.1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row>
  </sheetData>
  <mergeCells count="20">
    <mergeCell ref="AP1:AP2"/>
    <mergeCell ref="AK31:AK41"/>
    <mergeCell ref="A1:A2"/>
    <mergeCell ref="B1:B2"/>
    <mergeCell ref="C1:F1"/>
    <mergeCell ref="G1:G2"/>
    <mergeCell ref="H1:K1"/>
    <mergeCell ref="L1:L2"/>
    <mergeCell ref="Q1:Q2"/>
    <mergeCell ref="F5:F6"/>
    <mergeCell ref="AL1:AO1"/>
    <mergeCell ref="V1:V2"/>
    <mergeCell ref="AA1:AA2"/>
    <mergeCell ref="AF1:AF2"/>
    <mergeCell ref="AK1:AK2"/>
    <mergeCell ref="M1:P1"/>
    <mergeCell ref="R1:U1"/>
    <mergeCell ref="W1:Z1"/>
    <mergeCell ref="AB1:AE1"/>
    <mergeCell ref="AG1:AJ1"/>
  </mergeCells>
  <dataValidations count="13">
    <dataValidation type="list" allowBlank="1" showErrorMessage="1" sqref="C70:C75 H70:H75 M70:M75 R70:R75 W70:W75 AB70:AB75 AG70:AG75 AL70:AL75" xr:uid="{00000000-0002-0000-0100-000000000000}">
      <formula1>"MarketScan- Tdap (pregnancy),MarketScan- Tdap (delivery),MarketScan- No Tdap,MAX- Tdap (pregnancy),MAX- Tdap (delivery),Max- No Tdap"</formula1>
    </dataValidation>
    <dataValidation type="list" allowBlank="1" showErrorMessage="1" sqref="C30 H30 M30 R30 W30 AB30 AG30 AL30" xr:uid="{00000000-0002-0000-0100-000001000000}">
      <formula1>"Tdap,TT"</formula1>
    </dataValidation>
    <dataValidation type="list" allowBlank="1" showErrorMessage="1" sqref="C83:C84 H83:H84 M83:M84 R83:R84 W83:W84 AB83:AB84 AG83:AG84 AL83:AL84" xr:uid="{00000000-0002-0000-0100-000002000000}">
      <formula1>"Tdap,Td"</formula1>
    </dataValidation>
    <dataValidation type="list" allowBlank="1" showErrorMessage="1" sqref="C58:C61 H58:H61 M58:M61 R58:R61 W58:W61 AB58:AB61 AG58:AG61 AL58:AL61" xr:uid="{00000000-0002-0000-0100-000003000000}">
      <formula1>"Tdap - Pregnancy,No Tdap - Pregnany,Tdap - prenatal,No Tdap- prenatal"</formula1>
    </dataValidation>
    <dataValidation type="list" allowBlank="1" showErrorMessage="1" sqref="C5:C6 H5:H6 M5:M6 R5:R6 W5:W6 AB5:AB6 AG5:AG6 AL5:AL6" xr:uid="{00000000-0002-0000-0100-000004000000}">
      <formula1>"Vaccinated,Unvaccinated"</formula1>
    </dataValidation>
    <dataValidation type="list" allowBlank="1" showErrorMessage="1" sqref="C25:C26 H25:H26 M25:M26 R25:R26 W25:W26 AB25:AB26 AG25:AG26 AL25:AL26" xr:uid="{00000000-0002-0000-0100-000005000000}">
      <formula1>"Tdap 28-32 WG,Tdap 33-36 WG"</formula1>
    </dataValidation>
    <dataValidation type="list" allowBlank="1" showErrorMessage="1" sqref="C53:C54 H53:H54 M53:M54 R53:R54 W53:W54 AB53:AB54 AG53:AG54 AL53:AL54" xr:uid="{00000000-0002-0000-0100-000006000000}">
      <formula1>"Tdap (before),Tdap (during),No Tdap"</formula1>
    </dataValidation>
    <dataValidation type="list" allowBlank="1" showErrorMessage="1" sqref="C85:C88 H85:H88 M85:M88 R85:R88 W85:W88 AB85:AB88 AG85:AG88 AL85:AL88" xr:uid="{00000000-0002-0000-0100-000007000000}">
      <formula1>"Tdap- HIV+,Tdap- HIV-,Td- HIV+,Td- HIV-"</formula1>
    </dataValidation>
    <dataValidation type="list" allowBlank="1" showErrorMessage="1" sqref="C80:C82 H80:H82 M80:M82 R80:R82 W80:W82 AB80:AB82 AG80:AG82 AL80:AL82" xr:uid="{00000000-0002-0000-0100-000008000000}">
      <formula1>"Tdap 14+,Tdap 1-13,No Tdap"</formula1>
    </dataValidation>
    <dataValidation type="list" allowBlank="1" showErrorMessage="1" sqref="C14 H14 M14 R14 W14 AB14 AG14 AL14" xr:uid="{00000000-0002-0000-0100-000009000000}">
      <formula1>"Tdap,No Tdap - TT"</formula1>
    </dataValidation>
    <dataValidation type="list" allowBlank="1" showErrorMessage="1" sqref="C3:C4 H3:H4 M3:M4 R3:R4 W3:W4 AB3:AB4 AG3:AG4 AL3:AL4 C9:C13 H9:H13 M9:M13 R9:R13 W9:W13 AB9:AB13 AG9:AG13 AL9:AL13 C15:C20 H15:H20 M15:M20 R15:R20 W15:W20 AB15:AB20 AG15:AG20 AL15:AL20 C23:C24 H23:H24 M23:M24 R23:R24 W23:W24 AB23:AB24 AG23:AG24 AL23:AL24 C27:C29 H27:H29 M27:M29 R27:R29 W27:W29 AB27:AB29 AG27:AG29 AL27:AL29 C31:C40 H31:H40 M31:M40 R31:R40 W31:W40 AB31:AB40 AG31:AG40 AL31:AL40 C43:C48 H43:H48 M43:M48 R43:R48 W43:W48 AB43:AB48 AG43:AG48 AL43:AL48 C55:C57 H55:H57 M55:M57 R55:R57 W55:W57 AB55:AB57 AG55:AG57 AL55:AL57 C62:C69 H62:H69 M62:M69 R62:R69 W62:W69 AB62:AB69 AG62:AG69 AL62:AL69 C76:C79 H76:H79 M76:M79 R76:R79 W76:W79 AB76:AB79 AG76:AG79 AL76:AL79 C89:C98 H89:H98 M89:M98 R89:R98 W89:W98 AB89:AB98 AG89:AG98 AL89:AL98" xr:uid="{00000000-0002-0000-0100-00000A000000}">
      <formula1>"Tdap,No Tdap"</formula1>
    </dataValidation>
    <dataValidation type="list" allowBlank="1" showErrorMessage="1" sqref="C49:C52 H49:H52 M49:M52 R49:R52 W49:W52 AB49:AB52 AG49:AG52 AL49:AL52" xr:uid="{00000000-0002-0000-0100-00000B000000}">
      <formula1>"Tdap (Term),No Tdap (Term),Tdap (PT),No Tdap (PT)"</formula1>
    </dataValidation>
    <dataValidation type="list" allowBlank="1" showErrorMessage="1" sqref="C7:C8 H7:H8 M7:M8 R7:R8 W7:W8 AB7:AB8 AG7:AG8 AL7:AL8 C21:C22 H21:H22 M21:M22 R21:R22 W21:W22 AB21:AB22 AG21:AG22 AL21:AL22 AB42 AG42" xr:uid="{00000000-0002-0000-0100-00000C000000}">
      <formula1>"Tdap,Np Tdap"</formula1>
    </dataValidation>
  </dataValidations>
  <pageMargins left="0.7" right="0.7" top="0.75" bottom="0.75" header="0" footer="0"/>
  <pageSetup orientation="landscape"/>
  <tableParts count="10">
    <tablePart r:id="rId1"/>
    <tablePart r:id="rId2"/>
    <tablePart r:id="rId3"/>
    <tablePart r:id="rId4"/>
    <tablePart r:id="rId5"/>
    <tablePart r:id="rId6"/>
    <tablePart r:id="rId7"/>
    <tablePart r:id="rId8"/>
    <tablePart r:id="rId9"/>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P993"/>
  <sheetViews>
    <sheetView workbookViewId="0">
      <pane xSplit="2" ySplit="2" topLeftCell="AC3" activePane="bottomRight" state="frozen"/>
      <selection pane="topRight" activeCell="C1" sqref="C1"/>
      <selection pane="bottomLeft" activeCell="A3" sqref="A3"/>
      <selection pane="bottomRight" activeCell="AG1" sqref="AG1:AK1"/>
    </sheetView>
  </sheetViews>
  <sheetFormatPr baseColWidth="10" defaultColWidth="12.6640625" defaultRowHeight="15" customHeight="1" x14ac:dyDescent="0.15"/>
  <cols>
    <col min="1" max="1" width="6.6640625" customWidth="1"/>
    <col min="2" max="2" width="15" customWidth="1"/>
    <col min="3" max="3" width="16.1640625" customWidth="1"/>
    <col min="4" max="4" width="5.1640625" customWidth="1"/>
    <col min="5" max="5" width="8.83203125" customWidth="1"/>
    <col min="6" max="6" width="16.83203125" customWidth="1"/>
    <col min="7" max="7" width="18.1640625" customWidth="1"/>
    <col min="9" max="9" width="16.33203125" customWidth="1"/>
    <col min="10" max="10" width="8.1640625" customWidth="1"/>
    <col min="11" max="11" width="9" customWidth="1"/>
    <col min="12" max="12" width="17.6640625" customWidth="1"/>
    <col min="13" max="13" width="18" customWidth="1"/>
    <col min="15" max="15" width="16.6640625" customWidth="1"/>
    <col min="16" max="16" width="7" customWidth="1"/>
    <col min="17" max="17" width="8.83203125" customWidth="1"/>
    <col min="18" max="18" width="17.1640625" customWidth="1"/>
    <col min="19" max="19" width="17.83203125" customWidth="1"/>
    <col min="21" max="21" width="17" customWidth="1"/>
    <col min="22" max="22" width="7.33203125" customWidth="1"/>
    <col min="23" max="23" width="21.6640625" customWidth="1"/>
    <col min="24" max="24" width="17.5" customWidth="1"/>
    <col min="25" max="25" width="18.1640625" customWidth="1"/>
    <col min="27" max="27" width="17" customWidth="1"/>
    <col min="28" max="28" width="10.1640625" customWidth="1"/>
    <col min="29" max="29" width="9" customWidth="1"/>
    <col min="30" max="30" width="17.5" customWidth="1"/>
    <col min="31" max="31" width="19.1640625" customWidth="1"/>
    <col min="33" max="33" width="16.83203125" customWidth="1"/>
    <col min="34" max="34" width="5" customWidth="1"/>
    <col min="35" max="35" width="9.1640625" customWidth="1"/>
    <col min="36" max="36" width="17.5" customWidth="1"/>
    <col min="37" max="37" width="19.33203125" customWidth="1"/>
    <col min="39" max="39" width="17.1640625" customWidth="1"/>
    <col min="40" max="40" width="4.6640625" customWidth="1"/>
    <col min="41" max="41" width="9.5" customWidth="1"/>
    <col min="42" max="42" width="17.83203125" customWidth="1"/>
    <col min="43" max="43" width="17.6640625" customWidth="1"/>
    <col min="45" max="45" width="16.6640625" customWidth="1"/>
    <col min="46" max="46" width="4.5" customWidth="1"/>
    <col min="47" max="47" width="9.1640625" customWidth="1"/>
    <col min="48" max="48" width="17" customWidth="1"/>
    <col min="49" max="49" width="17.6640625" customWidth="1"/>
    <col min="51" max="51" width="16.6640625" customWidth="1"/>
    <col min="52" max="52" width="6.1640625" customWidth="1"/>
    <col min="53" max="53" width="14" customWidth="1"/>
    <col min="54" max="54" width="17.33203125" customWidth="1"/>
    <col min="55" max="55" width="23.6640625" customWidth="1"/>
    <col min="57" max="57" width="16.6640625" customWidth="1"/>
    <col min="58" max="58" width="4.83203125" customWidth="1"/>
    <col min="59" max="59" width="18.33203125" customWidth="1"/>
    <col min="60" max="60" width="16.83203125" customWidth="1"/>
    <col min="61" max="61" width="17.33203125" customWidth="1"/>
    <col min="63" max="63" width="16.6640625" customWidth="1"/>
    <col min="64" max="64" width="7" customWidth="1"/>
    <col min="65" max="65" width="18.33203125" customWidth="1"/>
    <col min="66" max="66" width="16.83203125" customWidth="1"/>
    <col min="67" max="67" width="17.33203125" customWidth="1"/>
  </cols>
  <sheetData>
    <row r="1" spans="1:68" ht="15.75" customHeight="1" x14ac:dyDescent="0.2">
      <c r="A1" s="78" t="s">
        <v>0</v>
      </c>
      <c r="B1" s="78" t="s">
        <v>1</v>
      </c>
      <c r="C1" s="79" t="s">
        <v>1559</v>
      </c>
      <c r="D1" s="61"/>
      <c r="E1" s="61"/>
      <c r="F1" s="61"/>
      <c r="G1" s="62"/>
      <c r="H1" s="77" t="s">
        <v>1261</v>
      </c>
      <c r="I1" s="79" t="s">
        <v>1560</v>
      </c>
      <c r="J1" s="61"/>
      <c r="K1" s="61"/>
      <c r="L1" s="61"/>
      <c r="M1" s="62"/>
      <c r="N1" s="77" t="s">
        <v>1261</v>
      </c>
      <c r="O1" s="79" t="s">
        <v>1561</v>
      </c>
      <c r="P1" s="61"/>
      <c r="Q1" s="61"/>
      <c r="R1" s="61"/>
      <c r="S1" s="62"/>
      <c r="T1" s="77" t="s">
        <v>1261</v>
      </c>
      <c r="U1" s="79" t="s">
        <v>1562</v>
      </c>
      <c r="V1" s="61"/>
      <c r="W1" s="61"/>
      <c r="X1" s="61"/>
      <c r="Y1" s="62"/>
      <c r="Z1" s="76" t="s">
        <v>1261</v>
      </c>
      <c r="AA1" s="79" t="s">
        <v>1563</v>
      </c>
      <c r="AB1" s="61"/>
      <c r="AC1" s="61"/>
      <c r="AD1" s="61"/>
      <c r="AE1" s="62"/>
      <c r="AF1" s="77" t="s">
        <v>1261</v>
      </c>
      <c r="AG1" s="79" t="s">
        <v>1564</v>
      </c>
      <c r="AH1" s="61"/>
      <c r="AI1" s="61"/>
      <c r="AJ1" s="61"/>
      <c r="AK1" s="62"/>
      <c r="AL1" s="77" t="s">
        <v>1261</v>
      </c>
      <c r="AM1" s="80" t="s">
        <v>1565</v>
      </c>
      <c r="AN1" s="61"/>
      <c r="AO1" s="61"/>
      <c r="AP1" s="61"/>
      <c r="AQ1" s="62"/>
      <c r="AR1" s="76" t="s">
        <v>1261</v>
      </c>
      <c r="AS1" s="79" t="s">
        <v>1566</v>
      </c>
      <c r="AT1" s="61"/>
      <c r="AU1" s="61"/>
      <c r="AV1" s="61"/>
      <c r="AW1" s="62"/>
      <c r="AX1" s="77" t="s">
        <v>1261</v>
      </c>
      <c r="AY1" s="79" t="s">
        <v>1567</v>
      </c>
      <c r="AZ1" s="61"/>
      <c r="BA1" s="61"/>
      <c r="BB1" s="61"/>
      <c r="BC1" s="62"/>
      <c r="BD1" s="76" t="s">
        <v>1261</v>
      </c>
      <c r="BE1" s="79" t="s">
        <v>1568</v>
      </c>
      <c r="BF1" s="61"/>
      <c r="BG1" s="61"/>
      <c r="BH1" s="61"/>
      <c r="BI1" s="62"/>
      <c r="BJ1" s="77" t="s">
        <v>1261</v>
      </c>
      <c r="BK1" s="79" t="s">
        <v>1569</v>
      </c>
      <c r="BL1" s="61"/>
      <c r="BM1" s="61"/>
      <c r="BN1" s="61"/>
      <c r="BO1" s="62"/>
      <c r="BP1" s="77" t="s">
        <v>1261</v>
      </c>
    </row>
    <row r="2" spans="1:68" ht="15.75" customHeight="1" x14ac:dyDescent="0.2">
      <c r="A2" s="67"/>
      <c r="B2" s="67"/>
      <c r="C2" s="23" t="s">
        <v>26</v>
      </c>
      <c r="D2" s="23" t="s">
        <v>1269</v>
      </c>
      <c r="E2" s="23" t="s">
        <v>1272</v>
      </c>
      <c r="F2" s="23" t="s">
        <v>1570</v>
      </c>
      <c r="G2" s="23" t="s">
        <v>1273</v>
      </c>
      <c r="H2" s="67"/>
      <c r="I2" s="23" t="s">
        <v>26</v>
      </c>
      <c r="J2" s="23" t="s">
        <v>1269</v>
      </c>
      <c r="K2" s="23" t="s">
        <v>1272</v>
      </c>
      <c r="L2" s="23" t="s">
        <v>1570</v>
      </c>
      <c r="M2" s="23" t="s">
        <v>1273</v>
      </c>
      <c r="N2" s="67"/>
      <c r="O2" s="23" t="s">
        <v>26</v>
      </c>
      <c r="P2" s="23" t="s">
        <v>1269</v>
      </c>
      <c r="Q2" s="23" t="s">
        <v>1272</v>
      </c>
      <c r="R2" s="23" t="s">
        <v>1570</v>
      </c>
      <c r="S2" s="23" t="s">
        <v>1273</v>
      </c>
      <c r="T2" s="67"/>
      <c r="U2" s="23" t="s">
        <v>26</v>
      </c>
      <c r="V2" s="23" t="s">
        <v>1269</v>
      </c>
      <c r="W2" s="23" t="s">
        <v>1272</v>
      </c>
      <c r="X2" s="23" t="s">
        <v>1570</v>
      </c>
      <c r="Y2" s="23" t="s">
        <v>1273</v>
      </c>
      <c r="Z2" s="67"/>
      <c r="AA2" s="23" t="s">
        <v>26</v>
      </c>
      <c r="AB2" s="23" t="s">
        <v>1269</v>
      </c>
      <c r="AC2" s="23" t="s">
        <v>1272</v>
      </c>
      <c r="AD2" s="23" t="s">
        <v>1570</v>
      </c>
      <c r="AE2" s="23" t="s">
        <v>1273</v>
      </c>
      <c r="AF2" s="67"/>
      <c r="AG2" s="23" t="s">
        <v>26</v>
      </c>
      <c r="AH2" s="23" t="s">
        <v>1269</v>
      </c>
      <c r="AI2" s="23" t="s">
        <v>1272</v>
      </c>
      <c r="AJ2" s="23" t="s">
        <v>1570</v>
      </c>
      <c r="AK2" s="23" t="s">
        <v>1273</v>
      </c>
      <c r="AL2" s="67"/>
      <c r="AM2" s="23" t="s">
        <v>26</v>
      </c>
      <c r="AN2" s="23" t="s">
        <v>1269</v>
      </c>
      <c r="AO2" s="23" t="s">
        <v>1272</v>
      </c>
      <c r="AP2" s="23" t="s">
        <v>1570</v>
      </c>
      <c r="AQ2" s="23" t="s">
        <v>1273</v>
      </c>
      <c r="AR2" s="67"/>
      <c r="AS2" s="23" t="s">
        <v>26</v>
      </c>
      <c r="AT2" s="23" t="s">
        <v>1269</v>
      </c>
      <c r="AU2" s="23" t="s">
        <v>1272</v>
      </c>
      <c r="AV2" s="23" t="s">
        <v>1570</v>
      </c>
      <c r="AW2" s="23" t="s">
        <v>1273</v>
      </c>
      <c r="AX2" s="67"/>
      <c r="AY2" s="23" t="s">
        <v>26</v>
      </c>
      <c r="AZ2" s="23" t="s">
        <v>1269</v>
      </c>
      <c r="BA2" s="23" t="s">
        <v>1571</v>
      </c>
      <c r="BB2" s="23" t="s">
        <v>1570</v>
      </c>
      <c r="BC2" s="23" t="s">
        <v>1572</v>
      </c>
      <c r="BD2" s="67"/>
      <c r="BE2" s="23" t="s">
        <v>26</v>
      </c>
      <c r="BF2" s="23" t="s">
        <v>1269</v>
      </c>
      <c r="BG2" s="23" t="s">
        <v>1573</v>
      </c>
      <c r="BH2" s="23" t="s">
        <v>1570</v>
      </c>
      <c r="BI2" s="23" t="s">
        <v>1574</v>
      </c>
      <c r="BJ2" s="67"/>
      <c r="BK2" s="23" t="s">
        <v>26</v>
      </c>
      <c r="BL2" s="23" t="s">
        <v>1269</v>
      </c>
      <c r="BM2" s="23" t="s">
        <v>1571</v>
      </c>
      <c r="BN2" s="23" t="s">
        <v>1570</v>
      </c>
      <c r="BO2" s="23" t="s">
        <v>1572</v>
      </c>
      <c r="BP2" s="67"/>
    </row>
    <row r="3" spans="1:68" ht="15.75" customHeight="1" x14ac:dyDescent="0.15">
      <c r="A3" s="24">
        <v>4065</v>
      </c>
      <c r="B3" s="24" t="s">
        <v>95</v>
      </c>
      <c r="C3" s="24" t="s">
        <v>33</v>
      </c>
      <c r="D3" s="25">
        <v>16606</v>
      </c>
      <c r="E3" s="24" t="s">
        <v>34</v>
      </c>
      <c r="F3" s="24" t="s">
        <v>34</v>
      </c>
      <c r="G3" s="24" t="s">
        <v>34</v>
      </c>
      <c r="H3" s="26"/>
      <c r="I3" s="24" t="s">
        <v>33</v>
      </c>
      <c r="J3" s="25">
        <v>16606</v>
      </c>
      <c r="K3" s="24" t="s">
        <v>34</v>
      </c>
      <c r="L3" s="24" t="s">
        <v>34</v>
      </c>
      <c r="M3" s="24" t="s">
        <v>34</v>
      </c>
      <c r="N3" s="26"/>
      <c r="O3" s="24" t="s">
        <v>33</v>
      </c>
      <c r="P3" s="25">
        <v>16368</v>
      </c>
      <c r="Q3" s="24">
        <v>23</v>
      </c>
      <c r="R3" s="24" t="s">
        <v>1575</v>
      </c>
      <c r="S3" s="24" t="s">
        <v>1576</v>
      </c>
      <c r="T3" s="26"/>
      <c r="U3" s="24" t="s">
        <v>33</v>
      </c>
      <c r="V3" s="25">
        <v>16350</v>
      </c>
      <c r="W3" s="25">
        <v>1019</v>
      </c>
      <c r="X3" s="25" t="s">
        <v>1577</v>
      </c>
      <c r="Y3" s="25" t="s">
        <v>1578</v>
      </c>
      <c r="Z3" s="26" t="s">
        <v>1579</v>
      </c>
      <c r="AA3" s="24" t="s">
        <v>33</v>
      </c>
      <c r="AB3" s="25">
        <v>16606</v>
      </c>
      <c r="AC3" s="24">
        <v>874</v>
      </c>
      <c r="AD3" s="24" t="s">
        <v>1580</v>
      </c>
      <c r="AE3" s="24" t="s">
        <v>1581</v>
      </c>
      <c r="AF3" s="26" t="s">
        <v>1582</v>
      </c>
      <c r="AG3" s="24" t="s">
        <v>33</v>
      </c>
      <c r="AH3" s="25">
        <v>16606</v>
      </c>
      <c r="AI3" s="24">
        <v>811</v>
      </c>
      <c r="AJ3" s="24" t="s">
        <v>1583</v>
      </c>
      <c r="AK3" s="24" t="s">
        <v>1584</v>
      </c>
      <c r="AL3" s="26" t="s">
        <v>1582</v>
      </c>
      <c r="AM3" s="24" t="s">
        <v>33</v>
      </c>
      <c r="AN3" s="25">
        <v>16606</v>
      </c>
      <c r="AO3" s="24">
        <v>157</v>
      </c>
      <c r="AP3" s="24" t="s">
        <v>1585</v>
      </c>
      <c r="AQ3" s="24" t="s">
        <v>1586</v>
      </c>
      <c r="AR3" s="26" t="s">
        <v>1587</v>
      </c>
      <c r="AS3" s="24" t="s">
        <v>33</v>
      </c>
      <c r="AT3" s="25">
        <v>16606</v>
      </c>
      <c r="AU3" s="24" t="s">
        <v>34</v>
      </c>
      <c r="AV3" s="24" t="s">
        <v>34</v>
      </c>
      <c r="AW3" s="24" t="s">
        <v>34</v>
      </c>
      <c r="AX3" s="26"/>
      <c r="AY3" s="24" t="s">
        <v>33</v>
      </c>
      <c r="AZ3" s="25">
        <v>16022</v>
      </c>
      <c r="BA3" s="24">
        <v>318</v>
      </c>
      <c r="BB3" s="24" t="s">
        <v>1588</v>
      </c>
      <c r="BC3" s="24" t="s">
        <v>1589</v>
      </c>
      <c r="BD3" s="26" t="s">
        <v>1587</v>
      </c>
      <c r="BE3" s="24" t="s">
        <v>33</v>
      </c>
      <c r="BF3" s="25">
        <v>16606</v>
      </c>
      <c r="BG3" s="24" t="s">
        <v>1590</v>
      </c>
      <c r="BH3" s="24" t="s">
        <v>34</v>
      </c>
      <c r="BI3" s="24" t="s">
        <v>34</v>
      </c>
      <c r="BJ3" s="26"/>
      <c r="BK3" s="24" t="s">
        <v>33</v>
      </c>
      <c r="BL3" s="25">
        <v>16606</v>
      </c>
      <c r="BM3" s="24" t="s">
        <v>34</v>
      </c>
      <c r="BN3" s="24" t="s">
        <v>34</v>
      </c>
      <c r="BO3" s="24" t="s">
        <v>34</v>
      </c>
      <c r="BP3" s="26"/>
    </row>
    <row r="4" spans="1:68" ht="15.75" customHeight="1" x14ac:dyDescent="0.15">
      <c r="A4" s="27">
        <v>4065</v>
      </c>
      <c r="B4" s="27" t="s">
        <v>95</v>
      </c>
      <c r="C4" s="27" t="s">
        <v>46</v>
      </c>
      <c r="D4" s="28">
        <v>16606</v>
      </c>
      <c r="E4" s="27" t="s">
        <v>34</v>
      </c>
      <c r="F4" s="27" t="s">
        <v>34</v>
      </c>
      <c r="G4" s="27" t="s">
        <v>34</v>
      </c>
      <c r="H4" s="29"/>
      <c r="I4" s="27" t="s">
        <v>46</v>
      </c>
      <c r="J4" s="28">
        <v>16606</v>
      </c>
      <c r="K4" s="27" t="s">
        <v>34</v>
      </c>
      <c r="L4" s="27" t="s">
        <v>34</v>
      </c>
      <c r="M4" s="27" t="s">
        <v>34</v>
      </c>
      <c r="N4" s="29"/>
      <c r="O4" s="27" t="s">
        <v>46</v>
      </c>
      <c r="P4" s="28">
        <v>16166</v>
      </c>
      <c r="Q4" s="27">
        <v>39</v>
      </c>
      <c r="R4" s="30" t="s">
        <v>34</v>
      </c>
      <c r="S4" s="30" t="s">
        <v>34</v>
      </c>
      <c r="T4" s="29"/>
      <c r="U4" s="27" t="s">
        <v>46</v>
      </c>
      <c r="V4" s="28">
        <v>16088</v>
      </c>
      <c r="W4" s="28">
        <v>1435</v>
      </c>
      <c r="X4" s="31" t="s">
        <v>34</v>
      </c>
      <c r="Y4" s="31" t="s">
        <v>34</v>
      </c>
      <c r="Z4" s="29"/>
      <c r="AA4" s="27" t="s">
        <v>46</v>
      </c>
      <c r="AB4" s="28">
        <v>16606</v>
      </c>
      <c r="AC4" s="27">
        <v>588</v>
      </c>
      <c r="AD4" s="30" t="s">
        <v>34</v>
      </c>
      <c r="AE4" s="30" t="s">
        <v>34</v>
      </c>
      <c r="AF4" s="29"/>
      <c r="AG4" s="27" t="s">
        <v>46</v>
      </c>
      <c r="AH4" s="28">
        <v>16606</v>
      </c>
      <c r="AI4" s="27">
        <v>588</v>
      </c>
      <c r="AJ4" s="30" t="s">
        <v>34</v>
      </c>
      <c r="AK4" s="30" t="s">
        <v>34</v>
      </c>
      <c r="AL4" s="29"/>
      <c r="AM4" s="27" t="s">
        <v>46</v>
      </c>
      <c r="AN4" s="28">
        <v>16606</v>
      </c>
      <c r="AO4" s="27">
        <v>120</v>
      </c>
      <c r="AP4" s="30" t="s">
        <v>1591</v>
      </c>
      <c r="AQ4" s="30" t="s">
        <v>34</v>
      </c>
      <c r="AR4" s="29"/>
      <c r="AS4" s="27" t="s">
        <v>46</v>
      </c>
      <c r="AT4" s="28">
        <v>16606</v>
      </c>
      <c r="AU4" s="27" t="s">
        <v>34</v>
      </c>
      <c r="AV4" s="27" t="s">
        <v>34</v>
      </c>
      <c r="AW4" s="27" t="s">
        <v>34</v>
      </c>
      <c r="AX4" s="29"/>
      <c r="AY4" s="27" t="s">
        <v>46</v>
      </c>
      <c r="AZ4" s="28">
        <v>16022</v>
      </c>
      <c r="BA4" s="27">
        <v>378</v>
      </c>
      <c r="BB4" s="30" t="s">
        <v>34</v>
      </c>
      <c r="BC4" s="30" t="s">
        <v>34</v>
      </c>
      <c r="BD4" s="29"/>
      <c r="BE4" s="27" t="s">
        <v>46</v>
      </c>
      <c r="BF4" s="28">
        <v>16606</v>
      </c>
      <c r="BG4" s="27" t="s">
        <v>1592</v>
      </c>
      <c r="BH4" s="27" t="s">
        <v>34</v>
      </c>
      <c r="BI4" s="27" t="s">
        <v>34</v>
      </c>
      <c r="BJ4" s="29"/>
      <c r="BK4" s="27" t="s">
        <v>46</v>
      </c>
      <c r="BL4" s="28">
        <v>16606</v>
      </c>
      <c r="BM4" s="27" t="s">
        <v>34</v>
      </c>
      <c r="BN4" s="27" t="s">
        <v>34</v>
      </c>
      <c r="BO4" s="27" t="s">
        <v>34</v>
      </c>
      <c r="BP4" s="29"/>
    </row>
    <row r="5" spans="1:68" ht="15.75" customHeight="1" x14ac:dyDescent="0.15">
      <c r="A5" s="27">
        <v>1200</v>
      </c>
      <c r="B5" s="27" t="s">
        <v>127</v>
      </c>
      <c r="C5" s="27" t="s">
        <v>33</v>
      </c>
      <c r="D5" s="32">
        <v>11519</v>
      </c>
      <c r="E5" s="27" t="s">
        <v>34</v>
      </c>
      <c r="F5" s="27" t="s">
        <v>34</v>
      </c>
      <c r="G5" s="27" t="s">
        <v>34</v>
      </c>
      <c r="H5" s="29"/>
      <c r="I5" s="27" t="s">
        <v>33</v>
      </c>
      <c r="J5" s="32">
        <v>11519</v>
      </c>
      <c r="K5" s="27" t="s">
        <v>34</v>
      </c>
      <c r="L5" s="27" t="s">
        <v>34</v>
      </c>
      <c r="M5" s="27" t="s">
        <v>34</v>
      </c>
      <c r="N5" s="29"/>
      <c r="O5" s="27" t="s">
        <v>33</v>
      </c>
      <c r="P5" s="32">
        <v>11519</v>
      </c>
      <c r="Q5" s="27">
        <v>36</v>
      </c>
      <c r="R5" s="27" t="s">
        <v>1593</v>
      </c>
      <c r="S5" s="27" t="s">
        <v>1594</v>
      </c>
      <c r="T5" s="29"/>
      <c r="U5" s="27" t="s">
        <v>33</v>
      </c>
      <c r="V5" s="32">
        <v>11519</v>
      </c>
      <c r="W5" s="27" t="s">
        <v>1595</v>
      </c>
      <c r="X5" s="27" t="s">
        <v>1596</v>
      </c>
      <c r="Y5" s="27" t="s">
        <v>1597</v>
      </c>
      <c r="Z5" s="29"/>
      <c r="AA5" s="27" t="s">
        <v>33</v>
      </c>
      <c r="AB5" s="32">
        <v>11519</v>
      </c>
      <c r="AC5" s="27">
        <v>388</v>
      </c>
      <c r="AD5" s="27" t="s">
        <v>1598</v>
      </c>
      <c r="AE5" s="27" t="s">
        <v>1599</v>
      </c>
      <c r="AF5" s="29"/>
      <c r="AG5" s="27" t="s">
        <v>33</v>
      </c>
      <c r="AH5" s="32">
        <v>11519</v>
      </c>
      <c r="AI5" s="27">
        <v>139</v>
      </c>
      <c r="AJ5" s="27" t="s">
        <v>1600</v>
      </c>
      <c r="AK5" s="27" t="s">
        <v>1601</v>
      </c>
      <c r="AL5" s="29"/>
      <c r="AM5" s="27" t="s">
        <v>33</v>
      </c>
      <c r="AN5" s="32">
        <v>11519</v>
      </c>
      <c r="AO5" s="27" t="s">
        <v>34</v>
      </c>
      <c r="AP5" s="27" t="s">
        <v>34</v>
      </c>
      <c r="AQ5" s="27" t="s">
        <v>34</v>
      </c>
      <c r="AR5" s="29"/>
      <c r="AS5" s="27" t="s">
        <v>33</v>
      </c>
      <c r="AT5" s="32">
        <v>11519</v>
      </c>
      <c r="AU5" s="27" t="s">
        <v>34</v>
      </c>
      <c r="AV5" s="27" t="s">
        <v>34</v>
      </c>
      <c r="AW5" s="27" t="s">
        <v>34</v>
      </c>
      <c r="AX5" s="29"/>
      <c r="AY5" s="27" t="s">
        <v>33</v>
      </c>
      <c r="AZ5" s="32">
        <v>11519</v>
      </c>
      <c r="BA5" s="27">
        <v>324</v>
      </c>
      <c r="BB5" s="27" t="s">
        <v>1602</v>
      </c>
      <c r="BC5" s="27" t="s">
        <v>1603</v>
      </c>
      <c r="BD5" s="29"/>
      <c r="BE5" s="27" t="s">
        <v>33</v>
      </c>
      <c r="BF5" s="32">
        <v>11519</v>
      </c>
      <c r="BG5" s="27">
        <v>32</v>
      </c>
      <c r="BH5" s="27" t="s">
        <v>1604</v>
      </c>
      <c r="BI5" s="27" t="s">
        <v>1605</v>
      </c>
      <c r="BJ5" s="29"/>
      <c r="BK5" s="27" t="s">
        <v>33</v>
      </c>
      <c r="BL5" s="32">
        <v>11519</v>
      </c>
      <c r="BM5" s="27" t="s">
        <v>34</v>
      </c>
      <c r="BN5" s="27" t="s">
        <v>34</v>
      </c>
      <c r="BO5" s="27" t="s">
        <v>34</v>
      </c>
      <c r="BP5" s="29"/>
    </row>
    <row r="6" spans="1:68" ht="15.75" customHeight="1" x14ac:dyDescent="0.15">
      <c r="A6" s="27">
        <v>1200</v>
      </c>
      <c r="B6" s="27" t="s">
        <v>127</v>
      </c>
      <c r="C6" s="27" t="s">
        <v>46</v>
      </c>
      <c r="D6" s="32">
        <v>603694</v>
      </c>
      <c r="E6" s="27" t="s">
        <v>34</v>
      </c>
      <c r="F6" s="27" t="s">
        <v>34</v>
      </c>
      <c r="G6" s="27" t="s">
        <v>34</v>
      </c>
      <c r="H6" s="29"/>
      <c r="I6" s="27" t="s">
        <v>46</v>
      </c>
      <c r="J6" s="32">
        <v>603694</v>
      </c>
      <c r="K6" s="27" t="s">
        <v>34</v>
      </c>
      <c r="L6" s="27" t="s">
        <v>34</v>
      </c>
      <c r="M6" s="27" t="s">
        <v>34</v>
      </c>
      <c r="N6" s="29"/>
      <c r="O6" s="27" t="s">
        <v>46</v>
      </c>
      <c r="P6" s="32">
        <v>603694</v>
      </c>
      <c r="Q6" s="27">
        <v>3249</v>
      </c>
      <c r="R6" s="27" t="s">
        <v>34</v>
      </c>
      <c r="S6" s="27" t="s">
        <v>34</v>
      </c>
      <c r="T6" s="29"/>
      <c r="U6" s="27" t="s">
        <v>46</v>
      </c>
      <c r="V6" s="32">
        <v>603694</v>
      </c>
      <c r="W6" s="27" t="s">
        <v>1606</v>
      </c>
      <c r="X6" s="27" t="s">
        <v>34</v>
      </c>
      <c r="Y6" s="27" t="s">
        <v>34</v>
      </c>
      <c r="Z6" s="29"/>
      <c r="AA6" s="27" t="s">
        <v>46</v>
      </c>
      <c r="AB6" s="32">
        <v>603694</v>
      </c>
      <c r="AC6" s="27" t="s">
        <v>1607</v>
      </c>
      <c r="AD6" s="27" t="s">
        <v>34</v>
      </c>
      <c r="AE6" s="27" t="s">
        <v>34</v>
      </c>
      <c r="AF6" s="29"/>
      <c r="AG6" s="27" t="s">
        <v>46</v>
      </c>
      <c r="AH6" s="32">
        <v>603694</v>
      </c>
      <c r="AI6" s="27">
        <v>6081</v>
      </c>
      <c r="AJ6" s="27" t="s">
        <v>34</v>
      </c>
      <c r="AK6" s="27" t="s">
        <v>34</v>
      </c>
      <c r="AL6" s="29"/>
      <c r="AM6" s="27" t="s">
        <v>46</v>
      </c>
      <c r="AN6" s="32">
        <v>603694</v>
      </c>
      <c r="AO6" s="27" t="s">
        <v>34</v>
      </c>
      <c r="AP6" s="27" t="s">
        <v>34</v>
      </c>
      <c r="AQ6" s="27" t="s">
        <v>34</v>
      </c>
      <c r="AR6" s="29"/>
      <c r="AS6" s="27" t="s">
        <v>46</v>
      </c>
      <c r="AT6" s="32">
        <v>603694</v>
      </c>
      <c r="AU6" s="27" t="s">
        <v>34</v>
      </c>
      <c r="AV6" s="27" t="s">
        <v>34</v>
      </c>
      <c r="AW6" s="27" t="s">
        <v>34</v>
      </c>
      <c r="AX6" s="29"/>
      <c r="AY6" s="27" t="s">
        <v>46</v>
      </c>
      <c r="AZ6" s="32">
        <v>603694</v>
      </c>
      <c r="BA6" s="27">
        <v>16916</v>
      </c>
      <c r="BB6" s="27" t="s">
        <v>34</v>
      </c>
      <c r="BC6" s="27" t="s">
        <v>34</v>
      </c>
      <c r="BD6" s="29"/>
      <c r="BE6" s="27" t="s">
        <v>46</v>
      </c>
      <c r="BF6" s="32">
        <v>603694</v>
      </c>
      <c r="BG6" s="27">
        <v>2002</v>
      </c>
      <c r="BH6" s="27" t="s">
        <v>34</v>
      </c>
      <c r="BI6" s="27" t="s">
        <v>34</v>
      </c>
      <c r="BJ6" s="29"/>
      <c r="BK6" s="27" t="s">
        <v>46</v>
      </c>
      <c r="BL6" s="32">
        <v>603694</v>
      </c>
      <c r="BM6" s="27" t="s">
        <v>34</v>
      </c>
      <c r="BN6" s="27" t="s">
        <v>34</v>
      </c>
      <c r="BO6" s="27" t="s">
        <v>34</v>
      </c>
      <c r="BP6" s="29"/>
    </row>
    <row r="7" spans="1:68" ht="15.75" customHeight="1" x14ac:dyDescent="0.15">
      <c r="A7" s="27">
        <v>13443</v>
      </c>
      <c r="B7" s="27" t="s">
        <v>169</v>
      </c>
      <c r="C7" s="27" t="s">
        <v>33</v>
      </c>
      <c r="D7" s="27">
        <v>52</v>
      </c>
      <c r="E7" s="27">
        <v>1</v>
      </c>
      <c r="F7" s="27" t="s">
        <v>34</v>
      </c>
      <c r="G7" s="27" t="s">
        <v>34</v>
      </c>
      <c r="H7" s="27" t="s">
        <v>1608</v>
      </c>
      <c r="I7" s="27" t="s">
        <v>33</v>
      </c>
      <c r="J7" s="27">
        <v>52</v>
      </c>
      <c r="K7" s="27" t="s">
        <v>34</v>
      </c>
      <c r="L7" s="27" t="s">
        <v>34</v>
      </c>
      <c r="M7" s="27" t="s">
        <v>34</v>
      </c>
      <c r="N7" s="29"/>
      <c r="O7" s="27" t="s">
        <v>33</v>
      </c>
      <c r="P7" s="27">
        <v>52</v>
      </c>
      <c r="Q7" s="27" t="s">
        <v>34</v>
      </c>
      <c r="R7" s="27" t="s">
        <v>34</v>
      </c>
      <c r="S7" s="27" t="s">
        <v>34</v>
      </c>
      <c r="T7" s="27" t="s">
        <v>1609</v>
      </c>
      <c r="U7" s="27" t="s">
        <v>33</v>
      </c>
      <c r="V7" s="27">
        <v>52</v>
      </c>
      <c r="W7" s="27" t="s">
        <v>34</v>
      </c>
      <c r="X7" s="27" t="s">
        <v>34</v>
      </c>
      <c r="Y7" s="27" t="s">
        <v>34</v>
      </c>
      <c r="Z7" s="29"/>
      <c r="AA7" s="27" t="s">
        <v>33</v>
      </c>
      <c r="AB7" s="27">
        <v>52</v>
      </c>
      <c r="AC7" s="27" t="s">
        <v>34</v>
      </c>
      <c r="AD7" s="27" t="s">
        <v>34</v>
      </c>
      <c r="AE7" s="27" t="s">
        <v>34</v>
      </c>
      <c r="AF7" s="29"/>
      <c r="AG7" s="27" t="s">
        <v>33</v>
      </c>
      <c r="AH7" s="27">
        <v>52</v>
      </c>
      <c r="AI7" s="27" t="s">
        <v>34</v>
      </c>
      <c r="AJ7" s="27" t="s">
        <v>34</v>
      </c>
      <c r="AK7" s="27" t="s">
        <v>34</v>
      </c>
      <c r="AL7" s="29"/>
      <c r="AM7" s="27" t="s">
        <v>33</v>
      </c>
      <c r="AN7" s="27">
        <v>52</v>
      </c>
      <c r="AO7" s="27" t="s">
        <v>34</v>
      </c>
      <c r="AP7" s="27" t="s">
        <v>34</v>
      </c>
      <c r="AQ7" s="27" t="s">
        <v>34</v>
      </c>
      <c r="AR7" s="29"/>
      <c r="AS7" s="27" t="s">
        <v>33</v>
      </c>
      <c r="AT7" s="27">
        <v>52</v>
      </c>
      <c r="AU7" s="27" t="s">
        <v>34</v>
      </c>
      <c r="AV7" s="27" t="s">
        <v>34</v>
      </c>
      <c r="AW7" s="27" t="s">
        <v>34</v>
      </c>
      <c r="AX7" s="29"/>
      <c r="AY7" s="27" t="s">
        <v>33</v>
      </c>
      <c r="AZ7" s="27">
        <v>52</v>
      </c>
      <c r="BA7" s="27">
        <v>2</v>
      </c>
      <c r="BB7" s="27" t="s">
        <v>34</v>
      </c>
      <c r="BC7" s="27" t="s">
        <v>1610</v>
      </c>
      <c r="BD7" s="29"/>
      <c r="BE7" s="27" t="s">
        <v>33</v>
      </c>
      <c r="BF7" s="27">
        <v>52</v>
      </c>
      <c r="BG7" s="27">
        <v>1</v>
      </c>
      <c r="BH7" s="27" t="s">
        <v>34</v>
      </c>
      <c r="BI7" s="27" t="s">
        <v>1611</v>
      </c>
      <c r="BJ7" s="27" t="s">
        <v>1612</v>
      </c>
      <c r="BK7" s="27" t="s">
        <v>33</v>
      </c>
      <c r="BL7" s="27">
        <v>52</v>
      </c>
      <c r="BM7" s="27" t="s">
        <v>1613</v>
      </c>
      <c r="BN7" s="27" t="s">
        <v>34</v>
      </c>
      <c r="BO7" s="27" t="s">
        <v>1614</v>
      </c>
      <c r="BP7" s="27" t="s">
        <v>1615</v>
      </c>
    </row>
    <row r="8" spans="1:68" ht="15.75" customHeight="1" x14ac:dyDescent="0.15">
      <c r="A8" s="27">
        <v>13443</v>
      </c>
      <c r="B8" s="27" t="s">
        <v>169</v>
      </c>
      <c r="C8" s="27" t="s">
        <v>187</v>
      </c>
      <c r="D8" s="27">
        <v>51</v>
      </c>
      <c r="E8" s="27">
        <v>0</v>
      </c>
      <c r="F8" s="27" t="s">
        <v>34</v>
      </c>
      <c r="G8" s="27" t="s">
        <v>34</v>
      </c>
      <c r="H8" s="29"/>
      <c r="I8" s="27" t="s">
        <v>187</v>
      </c>
      <c r="J8" s="27">
        <v>51</v>
      </c>
      <c r="K8" s="27" t="s">
        <v>34</v>
      </c>
      <c r="L8" s="27" t="s">
        <v>34</v>
      </c>
      <c r="M8" s="27" t="s">
        <v>34</v>
      </c>
      <c r="N8" s="29"/>
      <c r="O8" s="27" t="s">
        <v>187</v>
      </c>
      <c r="P8" s="27">
        <v>51</v>
      </c>
      <c r="Q8" s="27">
        <v>1</v>
      </c>
      <c r="R8" s="27" t="s">
        <v>34</v>
      </c>
      <c r="S8" s="27" t="s">
        <v>34</v>
      </c>
      <c r="T8" s="29"/>
      <c r="U8" s="27" t="s">
        <v>187</v>
      </c>
      <c r="V8" s="27">
        <v>51</v>
      </c>
      <c r="W8" s="27">
        <v>1</v>
      </c>
      <c r="X8" s="27" t="s">
        <v>34</v>
      </c>
      <c r="Y8" s="27" t="s">
        <v>34</v>
      </c>
      <c r="Z8" s="29"/>
      <c r="AA8" s="27" t="s">
        <v>187</v>
      </c>
      <c r="AB8" s="27">
        <v>51</v>
      </c>
      <c r="AC8" s="27" t="s">
        <v>34</v>
      </c>
      <c r="AD8" s="27" t="s">
        <v>34</v>
      </c>
      <c r="AE8" s="27" t="s">
        <v>34</v>
      </c>
      <c r="AF8" s="29"/>
      <c r="AG8" s="27" t="s">
        <v>187</v>
      </c>
      <c r="AH8" s="27">
        <v>51</v>
      </c>
      <c r="AI8" s="27" t="s">
        <v>34</v>
      </c>
      <c r="AJ8" s="27" t="s">
        <v>34</v>
      </c>
      <c r="AK8" s="27" t="s">
        <v>34</v>
      </c>
      <c r="AL8" s="29"/>
      <c r="AM8" s="27" t="s">
        <v>187</v>
      </c>
      <c r="AN8" s="27">
        <v>51</v>
      </c>
      <c r="AO8" s="27" t="s">
        <v>34</v>
      </c>
      <c r="AP8" s="27" t="s">
        <v>34</v>
      </c>
      <c r="AQ8" s="27" t="s">
        <v>34</v>
      </c>
      <c r="AR8" s="29"/>
      <c r="AS8" s="27" t="s">
        <v>187</v>
      </c>
      <c r="AT8" s="27">
        <v>51</v>
      </c>
      <c r="AU8" s="27" t="s">
        <v>34</v>
      </c>
      <c r="AV8" s="27" t="s">
        <v>34</v>
      </c>
      <c r="AW8" s="27" t="s">
        <v>34</v>
      </c>
      <c r="AX8" s="29"/>
      <c r="AY8" s="27" t="s">
        <v>187</v>
      </c>
      <c r="AZ8" s="27">
        <v>51</v>
      </c>
      <c r="BA8" s="27">
        <v>1</v>
      </c>
      <c r="BB8" s="27" t="s">
        <v>34</v>
      </c>
      <c r="BC8" s="29"/>
      <c r="BD8" s="29"/>
      <c r="BE8" s="27" t="s">
        <v>187</v>
      </c>
      <c r="BF8" s="27">
        <v>51</v>
      </c>
      <c r="BG8" s="27">
        <v>0</v>
      </c>
      <c r="BH8" s="27" t="s">
        <v>34</v>
      </c>
      <c r="BI8" s="27" t="s">
        <v>34</v>
      </c>
      <c r="BJ8" s="29"/>
      <c r="BK8" s="27" t="s">
        <v>187</v>
      </c>
      <c r="BL8" s="27">
        <v>51</v>
      </c>
      <c r="BM8" s="27" t="s">
        <v>1616</v>
      </c>
      <c r="BN8" s="27" t="s">
        <v>34</v>
      </c>
      <c r="BO8" s="29"/>
      <c r="BP8" s="27" t="s">
        <v>1617</v>
      </c>
    </row>
    <row r="9" spans="1:68" ht="15.75" customHeight="1" x14ac:dyDescent="0.15">
      <c r="A9" s="33">
        <v>358</v>
      </c>
      <c r="B9" s="33" t="s">
        <v>248</v>
      </c>
      <c r="C9" s="33" t="s">
        <v>33</v>
      </c>
      <c r="D9" s="33">
        <v>58</v>
      </c>
      <c r="E9" s="33">
        <v>1</v>
      </c>
      <c r="F9" s="33" t="s">
        <v>34</v>
      </c>
      <c r="G9" s="33" t="s">
        <v>34</v>
      </c>
      <c r="H9" s="33"/>
      <c r="I9" s="33" t="s">
        <v>33</v>
      </c>
      <c r="J9" s="33" t="s">
        <v>34</v>
      </c>
      <c r="K9" s="33" t="s">
        <v>34</v>
      </c>
      <c r="L9" s="33" t="s">
        <v>34</v>
      </c>
      <c r="M9" s="33" t="s">
        <v>34</v>
      </c>
      <c r="N9" s="33"/>
      <c r="O9" s="33" t="s">
        <v>33</v>
      </c>
      <c r="P9" s="33" t="s">
        <v>34</v>
      </c>
      <c r="Q9" s="33" t="s">
        <v>34</v>
      </c>
      <c r="R9" s="33" t="s">
        <v>34</v>
      </c>
      <c r="S9" s="33" t="s">
        <v>34</v>
      </c>
      <c r="T9" s="33"/>
      <c r="U9" s="33" t="s">
        <v>33</v>
      </c>
      <c r="V9" s="33">
        <v>58</v>
      </c>
      <c r="W9" s="33" t="s">
        <v>34</v>
      </c>
      <c r="X9" s="33" t="s">
        <v>34</v>
      </c>
      <c r="Y9" s="33" t="s">
        <v>34</v>
      </c>
      <c r="Z9" s="33" t="s">
        <v>1618</v>
      </c>
      <c r="AA9" s="33" t="s">
        <v>33</v>
      </c>
      <c r="AB9" s="27">
        <v>58</v>
      </c>
      <c r="AC9" s="33">
        <v>1</v>
      </c>
      <c r="AD9" s="33" t="s">
        <v>34</v>
      </c>
      <c r="AE9" s="33" t="s">
        <v>1599</v>
      </c>
      <c r="AF9" s="33" t="s">
        <v>1619</v>
      </c>
      <c r="AG9" s="33" t="s">
        <v>33</v>
      </c>
      <c r="AH9" s="33"/>
      <c r="AI9" s="33" t="s">
        <v>34</v>
      </c>
      <c r="AJ9" s="33" t="s">
        <v>34</v>
      </c>
      <c r="AK9" s="33" t="s">
        <v>34</v>
      </c>
      <c r="AL9" s="33"/>
      <c r="AM9" s="33" t="s">
        <v>33</v>
      </c>
      <c r="AN9" s="33">
        <v>58</v>
      </c>
      <c r="AO9" s="33" t="s">
        <v>1620</v>
      </c>
      <c r="AP9" s="33" t="s">
        <v>34</v>
      </c>
      <c r="AQ9" s="33"/>
      <c r="AR9" s="33"/>
      <c r="AS9" s="33" t="s">
        <v>33</v>
      </c>
      <c r="AT9" s="33">
        <v>58</v>
      </c>
      <c r="AU9" s="33">
        <v>0</v>
      </c>
      <c r="AV9" s="33" t="s">
        <v>34</v>
      </c>
      <c r="AW9" s="33"/>
      <c r="AX9" s="33"/>
      <c r="AY9" s="33" t="s">
        <v>33</v>
      </c>
      <c r="AZ9" s="33">
        <v>58</v>
      </c>
      <c r="BA9" s="33" t="s">
        <v>1621</v>
      </c>
      <c r="BB9" s="33" t="s">
        <v>34</v>
      </c>
      <c r="BC9" s="33"/>
      <c r="BD9" s="33"/>
      <c r="BE9" s="33" t="s">
        <v>33</v>
      </c>
      <c r="BF9" s="33">
        <v>58</v>
      </c>
      <c r="BG9" s="33">
        <v>42</v>
      </c>
      <c r="BH9" s="33" t="s">
        <v>34</v>
      </c>
      <c r="BI9" s="33"/>
      <c r="BJ9" s="33" t="s">
        <v>1622</v>
      </c>
      <c r="BK9" s="33" t="s">
        <v>33</v>
      </c>
      <c r="BL9" s="33">
        <v>55</v>
      </c>
      <c r="BM9" s="33" t="s">
        <v>1623</v>
      </c>
      <c r="BN9" s="33" t="s">
        <v>34</v>
      </c>
      <c r="BO9" s="33" t="s">
        <v>1624</v>
      </c>
      <c r="BP9" s="33" t="s">
        <v>1625</v>
      </c>
    </row>
    <row r="10" spans="1:68" ht="15.75" customHeight="1" x14ac:dyDescent="0.15">
      <c r="A10" s="33">
        <v>358</v>
      </c>
      <c r="B10" s="33" t="s">
        <v>248</v>
      </c>
      <c r="C10" s="33" t="s">
        <v>46</v>
      </c>
      <c r="D10" s="33" t="s">
        <v>34</v>
      </c>
      <c r="E10" s="33" t="s">
        <v>34</v>
      </c>
      <c r="F10" s="33" t="s">
        <v>34</v>
      </c>
      <c r="G10" s="33" t="s">
        <v>34</v>
      </c>
      <c r="H10" s="33"/>
      <c r="I10" s="33" t="s">
        <v>46</v>
      </c>
      <c r="J10" s="33" t="s">
        <v>34</v>
      </c>
      <c r="K10" s="33" t="s">
        <v>34</v>
      </c>
      <c r="L10" s="33" t="s">
        <v>34</v>
      </c>
      <c r="M10" s="33" t="s">
        <v>34</v>
      </c>
      <c r="N10" s="33"/>
      <c r="O10" s="33" t="s">
        <v>46</v>
      </c>
      <c r="P10" s="33" t="s">
        <v>34</v>
      </c>
      <c r="Q10" s="33" t="s">
        <v>34</v>
      </c>
      <c r="R10" s="33" t="s">
        <v>34</v>
      </c>
      <c r="S10" s="33" t="s">
        <v>34</v>
      </c>
      <c r="T10" s="33"/>
      <c r="U10" s="33" t="s">
        <v>46</v>
      </c>
      <c r="V10" s="33">
        <v>60</v>
      </c>
      <c r="W10" s="33" t="s">
        <v>34</v>
      </c>
      <c r="X10" s="33" t="s">
        <v>34</v>
      </c>
      <c r="Y10" s="33" t="s">
        <v>34</v>
      </c>
      <c r="Z10" s="33"/>
      <c r="AA10" s="33" t="s">
        <v>46</v>
      </c>
      <c r="AB10" s="27">
        <v>60</v>
      </c>
      <c r="AC10" s="33">
        <v>1</v>
      </c>
      <c r="AD10" s="33" t="s">
        <v>34</v>
      </c>
      <c r="AE10" s="33" t="s">
        <v>1599</v>
      </c>
      <c r="AF10" s="33"/>
      <c r="AG10" s="33" t="s">
        <v>46</v>
      </c>
      <c r="AH10" s="33"/>
      <c r="AI10" s="33" t="s">
        <v>34</v>
      </c>
      <c r="AJ10" s="33" t="s">
        <v>34</v>
      </c>
      <c r="AK10" s="33" t="s">
        <v>34</v>
      </c>
      <c r="AL10" s="33"/>
      <c r="AM10" s="33" t="s">
        <v>46</v>
      </c>
      <c r="AN10" s="33">
        <v>60</v>
      </c>
      <c r="AO10" s="33">
        <v>0</v>
      </c>
      <c r="AP10" s="33" t="s">
        <v>34</v>
      </c>
      <c r="AQ10" s="33"/>
      <c r="AR10" s="33"/>
      <c r="AS10" s="33" t="s">
        <v>46</v>
      </c>
      <c r="AT10" s="33">
        <v>60</v>
      </c>
      <c r="AU10" s="33">
        <v>1</v>
      </c>
      <c r="AV10" s="33" t="s">
        <v>34</v>
      </c>
      <c r="AW10" s="33"/>
      <c r="AX10" s="33"/>
      <c r="AY10" s="33" t="s">
        <v>46</v>
      </c>
      <c r="AZ10" s="33">
        <v>60</v>
      </c>
      <c r="BA10" s="33" t="s">
        <v>1626</v>
      </c>
      <c r="BB10" s="33" t="s">
        <v>34</v>
      </c>
      <c r="BC10" s="33"/>
      <c r="BD10" s="33"/>
      <c r="BE10" s="33" t="s">
        <v>46</v>
      </c>
      <c r="BF10" s="33">
        <v>60</v>
      </c>
      <c r="BG10" s="33">
        <v>26</v>
      </c>
      <c r="BH10" s="33" t="s">
        <v>34</v>
      </c>
      <c r="BI10" s="33"/>
      <c r="BJ10" s="33" t="s">
        <v>1627</v>
      </c>
      <c r="BK10" s="33" t="s">
        <v>46</v>
      </c>
      <c r="BL10" s="33"/>
      <c r="BM10" s="33" t="s">
        <v>55</v>
      </c>
      <c r="BN10" s="33" t="s">
        <v>34</v>
      </c>
      <c r="BO10" s="33"/>
      <c r="BP10" s="33"/>
    </row>
    <row r="11" spans="1:68" ht="63" customHeight="1" x14ac:dyDescent="0.15">
      <c r="A11" s="27">
        <v>1417</v>
      </c>
      <c r="B11" s="27" t="s">
        <v>192</v>
      </c>
      <c r="C11" s="27" t="s">
        <v>33</v>
      </c>
      <c r="D11" s="28">
        <v>192487</v>
      </c>
      <c r="E11" s="27" t="s">
        <v>34</v>
      </c>
      <c r="F11" s="27" t="s">
        <v>34</v>
      </c>
      <c r="G11" s="27" t="s">
        <v>34</v>
      </c>
      <c r="H11" s="29"/>
      <c r="I11" s="27" t="str">
        <f t="shared" ref="I11:J11" si="0">C11</f>
        <v>Tdap</v>
      </c>
      <c r="J11" s="28">
        <f t="shared" si="0"/>
        <v>192487</v>
      </c>
      <c r="K11" s="27" t="s">
        <v>34</v>
      </c>
      <c r="L11" s="27" t="s">
        <v>34</v>
      </c>
      <c r="M11" s="27" t="s">
        <v>34</v>
      </c>
      <c r="N11" s="29"/>
      <c r="O11" s="27" t="str">
        <f t="shared" ref="O11:P11" si="1">I11</f>
        <v>Tdap</v>
      </c>
      <c r="P11" s="28">
        <f t="shared" si="1"/>
        <v>192487</v>
      </c>
      <c r="Q11" s="27">
        <v>204</v>
      </c>
      <c r="R11" s="33" t="s">
        <v>1628</v>
      </c>
      <c r="S11" s="27" t="s">
        <v>34</v>
      </c>
      <c r="T11" s="27" t="s">
        <v>1629</v>
      </c>
      <c r="U11" s="27" t="str">
        <f t="shared" ref="U11:V11" si="2">O11</f>
        <v>Tdap</v>
      </c>
      <c r="V11" s="28">
        <f t="shared" si="2"/>
        <v>192487</v>
      </c>
      <c r="W11" s="27" t="s">
        <v>1630</v>
      </c>
      <c r="X11" s="27" t="s">
        <v>1631</v>
      </c>
      <c r="Y11" s="27" t="s">
        <v>1632</v>
      </c>
      <c r="Z11" s="27" t="s">
        <v>1633</v>
      </c>
      <c r="AA11" s="27" t="str">
        <f t="shared" ref="AA11:AB11" si="3">U11</f>
        <v>Tdap</v>
      </c>
      <c r="AB11" s="28">
        <f t="shared" si="3"/>
        <v>192487</v>
      </c>
      <c r="AC11" s="27" t="s">
        <v>1634</v>
      </c>
      <c r="AD11" s="27" t="s">
        <v>1635</v>
      </c>
      <c r="AE11" s="29"/>
      <c r="AF11" s="27" t="s">
        <v>1633</v>
      </c>
      <c r="AG11" s="27" t="str">
        <f t="shared" ref="AG11:AH11" si="4">AA11</f>
        <v>Tdap</v>
      </c>
      <c r="AH11" s="28">
        <f t="shared" si="4"/>
        <v>192487</v>
      </c>
      <c r="AI11" s="27" t="s">
        <v>34</v>
      </c>
      <c r="AJ11" s="27" t="s">
        <v>34</v>
      </c>
      <c r="AK11" s="27" t="s">
        <v>34</v>
      </c>
      <c r="AL11" s="29"/>
      <c r="AM11" s="27" t="str">
        <f t="shared" ref="AM11:AN11" si="5">AG11</f>
        <v>Tdap</v>
      </c>
      <c r="AN11" s="28">
        <f t="shared" si="5"/>
        <v>192487</v>
      </c>
      <c r="AO11" s="27" t="s">
        <v>34</v>
      </c>
      <c r="AP11" s="27" t="s">
        <v>34</v>
      </c>
      <c r="AQ11" s="27" t="s">
        <v>34</v>
      </c>
      <c r="AR11" s="29"/>
      <c r="AS11" s="27" t="str">
        <f t="shared" ref="AS11:AT11" si="6">AM11</f>
        <v>Tdap</v>
      </c>
      <c r="AT11" s="28">
        <f t="shared" si="6"/>
        <v>192487</v>
      </c>
      <c r="AU11" s="27" t="s">
        <v>34</v>
      </c>
      <c r="AV11" s="27" t="s">
        <v>34</v>
      </c>
      <c r="AW11" s="27" t="s">
        <v>34</v>
      </c>
      <c r="AX11" s="29"/>
      <c r="AY11" s="27" t="str">
        <f t="shared" ref="AY11:AZ11" si="7">AS11</f>
        <v>Tdap</v>
      </c>
      <c r="AZ11" s="28">
        <f t="shared" si="7"/>
        <v>192487</v>
      </c>
      <c r="BA11" s="27" t="s">
        <v>34</v>
      </c>
      <c r="BB11" s="27" t="s">
        <v>34</v>
      </c>
      <c r="BC11" s="27" t="s">
        <v>34</v>
      </c>
      <c r="BD11" s="29"/>
      <c r="BE11" s="27" t="str">
        <f t="shared" ref="BE11:BF11" si="8">AY11</f>
        <v>Tdap</v>
      </c>
      <c r="BF11" s="28">
        <f t="shared" si="8"/>
        <v>192487</v>
      </c>
      <c r="BG11" s="27" t="s">
        <v>34</v>
      </c>
      <c r="BH11" s="27" t="s">
        <v>34</v>
      </c>
      <c r="BI11" s="27" t="s">
        <v>34</v>
      </c>
      <c r="BJ11" s="29"/>
      <c r="BK11" s="27" t="str">
        <f t="shared" ref="BK11:BL11" si="9">BE11</f>
        <v>Tdap</v>
      </c>
      <c r="BL11" s="28">
        <f t="shared" si="9"/>
        <v>192487</v>
      </c>
      <c r="BM11" s="27" t="s">
        <v>34</v>
      </c>
      <c r="BN11" s="27" t="s">
        <v>34</v>
      </c>
      <c r="BO11" s="27" t="s">
        <v>34</v>
      </c>
      <c r="BP11" s="29"/>
    </row>
    <row r="12" spans="1:68" ht="63" customHeight="1" x14ac:dyDescent="0.15">
      <c r="A12" s="27">
        <v>1417</v>
      </c>
      <c r="B12" s="27" t="s">
        <v>192</v>
      </c>
      <c r="C12" s="27" t="s">
        <v>46</v>
      </c>
      <c r="D12" s="28">
        <v>56872</v>
      </c>
      <c r="E12" s="27" t="s">
        <v>34</v>
      </c>
      <c r="F12" s="27" t="s">
        <v>34</v>
      </c>
      <c r="G12" s="27" t="s">
        <v>34</v>
      </c>
      <c r="H12" s="29"/>
      <c r="I12" s="27" t="str">
        <f t="shared" ref="I12:J12" si="10">C12</f>
        <v>No Tdap</v>
      </c>
      <c r="J12" s="28">
        <f t="shared" si="10"/>
        <v>56872</v>
      </c>
      <c r="K12" s="27" t="s">
        <v>34</v>
      </c>
      <c r="L12" s="27" t="s">
        <v>34</v>
      </c>
      <c r="M12" s="27" t="s">
        <v>34</v>
      </c>
      <c r="N12" s="29"/>
      <c r="O12" s="27" t="str">
        <f t="shared" ref="O12:P12" si="11">I12</f>
        <v>No Tdap</v>
      </c>
      <c r="P12" s="28">
        <f t="shared" si="11"/>
        <v>56872</v>
      </c>
      <c r="Q12" s="27">
        <v>202</v>
      </c>
      <c r="R12" s="33"/>
      <c r="S12" s="29" t="s">
        <v>34</v>
      </c>
      <c r="T12" s="29"/>
      <c r="U12" s="27" t="str">
        <f t="shared" ref="U12:V12" si="12">O12</f>
        <v>No Tdap</v>
      </c>
      <c r="V12" s="28">
        <f t="shared" si="12"/>
        <v>56872</v>
      </c>
      <c r="W12" s="27" t="s">
        <v>1636</v>
      </c>
      <c r="X12" s="29"/>
      <c r="Y12" s="29" t="s">
        <v>1632</v>
      </c>
      <c r="Z12" s="29"/>
      <c r="AA12" s="27" t="str">
        <f t="shared" ref="AA12:AB12" si="13">U12</f>
        <v>No Tdap</v>
      </c>
      <c r="AB12" s="28">
        <f t="shared" si="13"/>
        <v>56872</v>
      </c>
      <c r="AC12" s="27" t="s">
        <v>1637</v>
      </c>
      <c r="AD12" s="29"/>
      <c r="AE12" s="29"/>
      <c r="AF12" s="29"/>
      <c r="AG12" s="27" t="str">
        <f t="shared" ref="AG12:AH12" si="14">AA12</f>
        <v>No Tdap</v>
      </c>
      <c r="AH12" s="28">
        <f t="shared" si="14"/>
        <v>56872</v>
      </c>
      <c r="AI12" s="27" t="s">
        <v>34</v>
      </c>
      <c r="AJ12" s="27" t="s">
        <v>34</v>
      </c>
      <c r="AK12" s="27" t="s">
        <v>34</v>
      </c>
      <c r="AL12" s="29"/>
      <c r="AM12" s="27" t="str">
        <f t="shared" ref="AM12:AN12" si="15">AG12</f>
        <v>No Tdap</v>
      </c>
      <c r="AN12" s="28">
        <f t="shared" si="15"/>
        <v>56872</v>
      </c>
      <c r="AO12" s="27" t="s">
        <v>34</v>
      </c>
      <c r="AP12" s="27" t="s">
        <v>34</v>
      </c>
      <c r="AQ12" s="27" t="s">
        <v>34</v>
      </c>
      <c r="AR12" s="29"/>
      <c r="AS12" s="27" t="str">
        <f t="shared" ref="AS12:AT12" si="16">AM12</f>
        <v>No Tdap</v>
      </c>
      <c r="AT12" s="28">
        <f t="shared" si="16"/>
        <v>56872</v>
      </c>
      <c r="AU12" s="27" t="s">
        <v>34</v>
      </c>
      <c r="AV12" s="27" t="s">
        <v>34</v>
      </c>
      <c r="AW12" s="27" t="s">
        <v>34</v>
      </c>
      <c r="AX12" s="29"/>
      <c r="AY12" s="27" t="str">
        <f t="shared" ref="AY12:AZ12" si="17">AS12</f>
        <v>No Tdap</v>
      </c>
      <c r="AZ12" s="28">
        <f t="shared" si="17"/>
        <v>56872</v>
      </c>
      <c r="BA12" s="27" t="s">
        <v>34</v>
      </c>
      <c r="BB12" s="27" t="s">
        <v>34</v>
      </c>
      <c r="BC12" s="27" t="s">
        <v>34</v>
      </c>
      <c r="BD12" s="29"/>
      <c r="BE12" s="27" t="str">
        <f t="shared" ref="BE12:BF12" si="18">AY12</f>
        <v>No Tdap</v>
      </c>
      <c r="BF12" s="28">
        <f t="shared" si="18"/>
        <v>56872</v>
      </c>
      <c r="BG12" s="27" t="s">
        <v>34</v>
      </c>
      <c r="BH12" s="27" t="s">
        <v>34</v>
      </c>
      <c r="BI12" s="27" t="s">
        <v>34</v>
      </c>
      <c r="BJ12" s="29"/>
      <c r="BK12" s="27" t="str">
        <f t="shared" ref="BK12:BL12" si="19">BE12</f>
        <v>No Tdap</v>
      </c>
      <c r="BL12" s="28">
        <f t="shared" si="19"/>
        <v>56872</v>
      </c>
      <c r="BM12" s="27" t="s">
        <v>34</v>
      </c>
      <c r="BN12" s="27" t="s">
        <v>34</v>
      </c>
      <c r="BO12" s="27" t="s">
        <v>34</v>
      </c>
      <c r="BP12" s="29"/>
    </row>
    <row r="13" spans="1:68" ht="15.75" customHeight="1" x14ac:dyDescent="0.15">
      <c r="A13" s="27">
        <v>4316</v>
      </c>
      <c r="B13" s="27" t="s">
        <v>332</v>
      </c>
      <c r="C13" s="27" t="s">
        <v>33</v>
      </c>
      <c r="D13" s="34">
        <v>49</v>
      </c>
      <c r="E13" s="27" t="s">
        <v>34</v>
      </c>
      <c r="F13" s="27" t="s">
        <v>34</v>
      </c>
      <c r="G13" s="27" t="s">
        <v>34</v>
      </c>
      <c r="H13" s="29"/>
      <c r="I13" s="27" t="s">
        <v>33</v>
      </c>
      <c r="J13" s="34">
        <v>49</v>
      </c>
      <c r="K13" s="27" t="s">
        <v>34</v>
      </c>
      <c r="L13" s="27" t="s">
        <v>34</v>
      </c>
      <c r="M13" s="27" t="s">
        <v>34</v>
      </c>
      <c r="N13" s="29"/>
      <c r="O13" s="27" t="s">
        <v>33</v>
      </c>
      <c r="P13" s="34">
        <v>49</v>
      </c>
      <c r="Q13" s="27" t="s">
        <v>34</v>
      </c>
      <c r="R13" s="27" t="s">
        <v>34</v>
      </c>
      <c r="S13" s="27" t="s">
        <v>34</v>
      </c>
      <c r="T13" s="29"/>
      <c r="U13" s="27" t="s">
        <v>33</v>
      </c>
      <c r="V13" s="34">
        <v>49</v>
      </c>
      <c r="W13" s="27" t="s">
        <v>1638</v>
      </c>
      <c r="X13" s="27" t="s">
        <v>1639</v>
      </c>
      <c r="Y13" s="27" t="s">
        <v>1640</v>
      </c>
      <c r="Z13" s="29" t="s">
        <v>1641</v>
      </c>
      <c r="AA13" s="27" t="s">
        <v>33</v>
      </c>
      <c r="AB13" s="34">
        <v>49</v>
      </c>
      <c r="AC13" s="27" t="s">
        <v>34</v>
      </c>
      <c r="AD13" s="27" t="s">
        <v>34</v>
      </c>
      <c r="AE13" s="27" t="s">
        <v>34</v>
      </c>
      <c r="AF13" s="29"/>
      <c r="AG13" s="27" t="s">
        <v>33</v>
      </c>
      <c r="AH13" s="34">
        <v>49</v>
      </c>
      <c r="AI13" s="27" t="s">
        <v>34</v>
      </c>
      <c r="AJ13" s="27" t="s">
        <v>34</v>
      </c>
      <c r="AK13" s="27" t="s">
        <v>34</v>
      </c>
      <c r="AL13" s="29"/>
      <c r="AM13" s="27" t="s">
        <v>33</v>
      </c>
      <c r="AN13" s="34">
        <v>49</v>
      </c>
      <c r="AO13" s="27" t="s">
        <v>34</v>
      </c>
      <c r="AP13" s="27" t="s">
        <v>34</v>
      </c>
      <c r="AQ13" s="27" t="s">
        <v>34</v>
      </c>
      <c r="AR13" s="29"/>
      <c r="AS13" s="27" t="s">
        <v>33</v>
      </c>
      <c r="AT13" s="34">
        <v>49</v>
      </c>
      <c r="AU13" s="27" t="s">
        <v>34</v>
      </c>
      <c r="AV13" s="27" t="s">
        <v>34</v>
      </c>
      <c r="AW13" s="27" t="s">
        <v>34</v>
      </c>
      <c r="AX13" s="29"/>
      <c r="AY13" s="27" t="s">
        <v>33</v>
      </c>
      <c r="AZ13" s="34">
        <v>49</v>
      </c>
      <c r="BA13" s="27" t="s">
        <v>34</v>
      </c>
      <c r="BB13" s="27" t="s">
        <v>34</v>
      </c>
      <c r="BC13" s="27" t="s">
        <v>34</v>
      </c>
      <c r="BD13" s="29"/>
      <c r="BE13" s="27" t="s">
        <v>33</v>
      </c>
      <c r="BF13" s="34">
        <v>49</v>
      </c>
      <c r="BG13" s="27" t="s">
        <v>34</v>
      </c>
      <c r="BH13" s="27" t="s">
        <v>34</v>
      </c>
      <c r="BI13" s="27" t="s">
        <v>34</v>
      </c>
      <c r="BJ13" s="29"/>
      <c r="BK13" s="27" t="s">
        <v>33</v>
      </c>
      <c r="BL13" s="34">
        <v>49</v>
      </c>
      <c r="BM13" s="27" t="s">
        <v>34</v>
      </c>
      <c r="BN13" s="27" t="s">
        <v>34</v>
      </c>
      <c r="BO13" s="27" t="s">
        <v>34</v>
      </c>
      <c r="BP13" s="29"/>
    </row>
    <row r="14" spans="1:68" ht="15.75" customHeight="1" x14ac:dyDescent="0.15">
      <c r="A14" s="27">
        <v>4316</v>
      </c>
      <c r="B14" s="27" t="s">
        <v>332</v>
      </c>
      <c r="C14" s="27" t="s">
        <v>46</v>
      </c>
      <c r="D14" s="34">
        <v>371</v>
      </c>
      <c r="E14" s="27" t="s">
        <v>34</v>
      </c>
      <c r="F14" s="27" t="s">
        <v>34</v>
      </c>
      <c r="G14" s="27" t="s">
        <v>34</v>
      </c>
      <c r="H14" s="29"/>
      <c r="I14" s="27" t="s">
        <v>46</v>
      </c>
      <c r="J14" s="34">
        <v>371</v>
      </c>
      <c r="K14" s="27" t="s">
        <v>34</v>
      </c>
      <c r="L14" s="27" t="s">
        <v>34</v>
      </c>
      <c r="M14" s="27" t="s">
        <v>34</v>
      </c>
      <c r="N14" s="29"/>
      <c r="O14" s="27" t="s">
        <v>46</v>
      </c>
      <c r="P14" s="34">
        <v>371</v>
      </c>
      <c r="Q14" s="27" t="s">
        <v>34</v>
      </c>
      <c r="R14" s="27" t="s">
        <v>34</v>
      </c>
      <c r="S14" s="27" t="s">
        <v>34</v>
      </c>
      <c r="T14" s="29"/>
      <c r="U14" s="27" t="s">
        <v>46</v>
      </c>
      <c r="V14" s="34">
        <v>371</v>
      </c>
      <c r="W14" s="27" t="s">
        <v>1642</v>
      </c>
      <c r="X14" s="27" t="s">
        <v>34</v>
      </c>
      <c r="Y14" s="27" t="s">
        <v>34</v>
      </c>
      <c r="Z14" s="29"/>
      <c r="AA14" s="27" t="s">
        <v>46</v>
      </c>
      <c r="AB14" s="34">
        <v>371</v>
      </c>
      <c r="AC14" s="27" t="s">
        <v>34</v>
      </c>
      <c r="AD14" s="27" t="s">
        <v>34</v>
      </c>
      <c r="AE14" s="27" t="s">
        <v>34</v>
      </c>
      <c r="AF14" s="29"/>
      <c r="AG14" s="27" t="s">
        <v>46</v>
      </c>
      <c r="AH14" s="34">
        <v>371</v>
      </c>
      <c r="AI14" s="27" t="s">
        <v>34</v>
      </c>
      <c r="AJ14" s="27" t="s">
        <v>34</v>
      </c>
      <c r="AK14" s="27" t="s">
        <v>34</v>
      </c>
      <c r="AL14" s="29"/>
      <c r="AM14" s="27" t="s">
        <v>46</v>
      </c>
      <c r="AN14" s="34">
        <v>371</v>
      </c>
      <c r="AO14" s="27" t="s">
        <v>34</v>
      </c>
      <c r="AP14" s="27" t="s">
        <v>34</v>
      </c>
      <c r="AQ14" s="27" t="s">
        <v>34</v>
      </c>
      <c r="AR14" s="29"/>
      <c r="AS14" s="27" t="s">
        <v>46</v>
      </c>
      <c r="AT14" s="34">
        <v>371</v>
      </c>
      <c r="AU14" s="27" t="s">
        <v>34</v>
      </c>
      <c r="AV14" s="27" t="s">
        <v>34</v>
      </c>
      <c r="AW14" s="27" t="s">
        <v>34</v>
      </c>
      <c r="AX14" s="29"/>
      <c r="AY14" s="27" t="s">
        <v>46</v>
      </c>
      <c r="AZ14" s="34">
        <v>371</v>
      </c>
      <c r="BA14" s="27" t="s">
        <v>34</v>
      </c>
      <c r="BB14" s="27" t="s">
        <v>34</v>
      </c>
      <c r="BC14" s="27" t="s">
        <v>34</v>
      </c>
      <c r="BD14" s="29"/>
      <c r="BE14" s="27" t="s">
        <v>46</v>
      </c>
      <c r="BF14" s="34">
        <v>371</v>
      </c>
      <c r="BG14" s="27" t="s">
        <v>34</v>
      </c>
      <c r="BH14" s="27" t="s">
        <v>34</v>
      </c>
      <c r="BI14" s="27" t="s">
        <v>34</v>
      </c>
      <c r="BJ14" s="29"/>
      <c r="BK14" s="27" t="s">
        <v>46</v>
      </c>
      <c r="BL14" s="34">
        <v>371</v>
      </c>
      <c r="BM14" s="27" t="s">
        <v>34</v>
      </c>
      <c r="BN14" s="27" t="s">
        <v>34</v>
      </c>
      <c r="BO14" s="27" t="s">
        <v>34</v>
      </c>
      <c r="BP14" s="29"/>
    </row>
    <row r="15" spans="1:68" ht="44.25" customHeight="1" x14ac:dyDescent="0.15">
      <c r="A15" s="27">
        <v>1442</v>
      </c>
      <c r="B15" s="27" t="s">
        <v>347</v>
      </c>
      <c r="C15" s="27" t="s">
        <v>33</v>
      </c>
      <c r="D15" s="27">
        <v>7886</v>
      </c>
      <c r="E15" s="27">
        <v>44</v>
      </c>
      <c r="F15" s="27" t="s">
        <v>1643</v>
      </c>
      <c r="G15" s="27" t="s">
        <v>34</v>
      </c>
      <c r="H15" s="27" t="s">
        <v>1644</v>
      </c>
      <c r="I15" s="27" t="str">
        <f t="shared" ref="I15:J15" si="20">C15</f>
        <v>Tdap</v>
      </c>
      <c r="J15" s="27">
        <f t="shared" si="20"/>
        <v>7886</v>
      </c>
      <c r="K15" s="27">
        <v>0</v>
      </c>
      <c r="L15" s="29"/>
      <c r="M15" s="29"/>
      <c r="N15" s="29"/>
      <c r="O15" s="27" t="str">
        <f t="shared" ref="O15:P15" si="21">I15</f>
        <v>Tdap</v>
      </c>
      <c r="P15" s="27">
        <f t="shared" si="21"/>
        <v>7886</v>
      </c>
      <c r="Q15" s="27" t="s">
        <v>34</v>
      </c>
      <c r="R15" s="27" t="s">
        <v>34</v>
      </c>
      <c r="S15" s="27" t="s">
        <v>34</v>
      </c>
      <c r="T15" s="29"/>
      <c r="U15" s="27" t="str">
        <f t="shared" ref="U15:V15" si="22">O15</f>
        <v>Tdap</v>
      </c>
      <c r="V15" s="27">
        <f t="shared" si="22"/>
        <v>7886</v>
      </c>
      <c r="W15" s="27" t="s">
        <v>34</v>
      </c>
      <c r="X15" s="27" t="s">
        <v>34</v>
      </c>
      <c r="Y15" s="27" t="s">
        <v>34</v>
      </c>
      <c r="Z15" s="29"/>
      <c r="AA15" s="27" t="str">
        <f t="shared" ref="AA15:AB15" si="23">U15</f>
        <v>Tdap</v>
      </c>
      <c r="AB15" s="27">
        <f t="shared" si="23"/>
        <v>7886</v>
      </c>
      <c r="AC15" s="27" t="s">
        <v>34</v>
      </c>
      <c r="AD15" s="27" t="s">
        <v>34</v>
      </c>
      <c r="AE15" s="27" t="s">
        <v>34</v>
      </c>
      <c r="AF15" s="29"/>
      <c r="AG15" s="27" t="str">
        <f t="shared" ref="AG15:AH15" si="24">AA15</f>
        <v>Tdap</v>
      </c>
      <c r="AH15" s="27">
        <f t="shared" si="24"/>
        <v>7886</v>
      </c>
      <c r="AI15" s="27" t="s">
        <v>34</v>
      </c>
      <c r="AJ15" s="27" t="s">
        <v>34</v>
      </c>
      <c r="AK15" s="27" t="s">
        <v>34</v>
      </c>
      <c r="AL15" s="29"/>
      <c r="AM15" s="27" t="str">
        <f t="shared" ref="AM15:AN15" si="25">AG15</f>
        <v>Tdap</v>
      </c>
      <c r="AN15" s="27">
        <f t="shared" si="25"/>
        <v>7886</v>
      </c>
      <c r="AO15" s="27" t="s">
        <v>34</v>
      </c>
      <c r="AP15" s="27" t="s">
        <v>34</v>
      </c>
      <c r="AQ15" s="27" t="s">
        <v>34</v>
      </c>
      <c r="AR15" s="29"/>
      <c r="AS15" s="27" t="str">
        <f t="shared" ref="AS15:AT15" si="26">AM15</f>
        <v>Tdap</v>
      </c>
      <c r="AT15" s="27">
        <f t="shared" si="26"/>
        <v>7886</v>
      </c>
      <c r="AU15" s="27" t="s">
        <v>34</v>
      </c>
      <c r="AV15" s="27" t="s">
        <v>34</v>
      </c>
      <c r="AW15" s="27" t="s">
        <v>34</v>
      </c>
      <c r="AX15" s="29"/>
      <c r="AY15" s="27" t="str">
        <f t="shared" ref="AY15:AZ15" si="27">AS15</f>
        <v>Tdap</v>
      </c>
      <c r="AZ15" s="27">
        <f t="shared" si="27"/>
        <v>7886</v>
      </c>
      <c r="BA15" s="27" t="s">
        <v>34</v>
      </c>
      <c r="BB15" s="27" t="s">
        <v>34</v>
      </c>
      <c r="BC15" s="27" t="s">
        <v>34</v>
      </c>
      <c r="BD15" s="29"/>
      <c r="BE15" s="27" t="str">
        <f t="shared" ref="BE15:BF15" si="28">AY15</f>
        <v>Tdap</v>
      </c>
      <c r="BF15" s="27">
        <f t="shared" si="28"/>
        <v>7886</v>
      </c>
      <c r="BG15" s="27" t="s">
        <v>34</v>
      </c>
      <c r="BH15" s="27" t="s">
        <v>34</v>
      </c>
      <c r="BI15" s="27" t="s">
        <v>34</v>
      </c>
      <c r="BJ15" s="29"/>
      <c r="BK15" s="27" t="str">
        <f t="shared" ref="BK15:BL15" si="29">BE15</f>
        <v>Tdap</v>
      </c>
      <c r="BL15" s="27">
        <f t="shared" si="29"/>
        <v>7886</v>
      </c>
      <c r="BM15" s="27" t="s">
        <v>1645</v>
      </c>
      <c r="BN15" s="27" t="s">
        <v>1646</v>
      </c>
      <c r="BO15" s="27" t="s">
        <v>1647</v>
      </c>
      <c r="BP15" s="27" t="s">
        <v>1648</v>
      </c>
    </row>
    <row r="16" spans="1:68" ht="44.25" customHeight="1" x14ac:dyDescent="0.15">
      <c r="A16" s="27">
        <v>1442</v>
      </c>
      <c r="B16" s="27" t="s">
        <v>347</v>
      </c>
      <c r="C16" s="27" t="s">
        <v>46</v>
      </c>
      <c r="D16" s="27">
        <v>4188</v>
      </c>
      <c r="E16" s="27">
        <v>22</v>
      </c>
      <c r="F16" s="29"/>
      <c r="G16" s="29"/>
      <c r="H16" s="29"/>
      <c r="I16" s="27" t="str">
        <f t="shared" ref="I16:J16" si="30">C16</f>
        <v>No Tdap</v>
      </c>
      <c r="J16" s="27">
        <f t="shared" si="30"/>
        <v>4188</v>
      </c>
      <c r="K16" s="27">
        <v>1</v>
      </c>
      <c r="L16" s="29"/>
      <c r="M16" s="27" t="s">
        <v>1649</v>
      </c>
      <c r="N16" s="29"/>
      <c r="O16" s="27" t="str">
        <f t="shared" ref="O16:P16" si="31">I16</f>
        <v>No Tdap</v>
      </c>
      <c r="P16" s="27">
        <f t="shared" si="31"/>
        <v>4188</v>
      </c>
      <c r="Q16" s="27" t="s">
        <v>34</v>
      </c>
      <c r="R16" s="27" t="s">
        <v>34</v>
      </c>
      <c r="S16" s="27" t="s">
        <v>34</v>
      </c>
      <c r="T16" s="29"/>
      <c r="U16" s="27" t="str">
        <f t="shared" ref="U16:V16" si="32">O16</f>
        <v>No Tdap</v>
      </c>
      <c r="V16" s="27">
        <f t="shared" si="32"/>
        <v>4188</v>
      </c>
      <c r="W16" s="27" t="s">
        <v>34</v>
      </c>
      <c r="X16" s="27" t="s">
        <v>34</v>
      </c>
      <c r="Y16" s="27" t="s">
        <v>34</v>
      </c>
      <c r="Z16" s="29"/>
      <c r="AA16" s="27" t="str">
        <f t="shared" ref="AA16:AB16" si="33">U16</f>
        <v>No Tdap</v>
      </c>
      <c r="AB16" s="27">
        <f t="shared" si="33"/>
        <v>4188</v>
      </c>
      <c r="AC16" s="27" t="s">
        <v>34</v>
      </c>
      <c r="AD16" s="27" t="s">
        <v>34</v>
      </c>
      <c r="AE16" s="27" t="s">
        <v>34</v>
      </c>
      <c r="AF16" s="29"/>
      <c r="AG16" s="27" t="str">
        <f t="shared" ref="AG16:AH16" si="34">AA16</f>
        <v>No Tdap</v>
      </c>
      <c r="AH16" s="27">
        <f t="shared" si="34"/>
        <v>4188</v>
      </c>
      <c r="AI16" s="27" t="s">
        <v>34</v>
      </c>
      <c r="AJ16" s="27" t="s">
        <v>34</v>
      </c>
      <c r="AK16" s="27" t="s">
        <v>34</v>
      </c>
      <c r="AL16" s="29"/>
      <c r="AM16" s="27" t="str">
        <f t="shared" ref="AM16:AN16" si="35">AG16</f>
        <v>No Tdap</v>
      </c>
      <c r="AN16" s="27">
        <f t="shared" si="35"/>
        <v>4188</v>
      </c>
      <c r="AO16" s="27" t="s">
        <v>34</v>
      </c>
      <c r="AP16" s="27" t="s">
        <v>34</v>
      </c>
      <c r="AQ16" s="27" t="s">
        <v>34</v>
      </c>
      <c r="AR16" s="29"/>
      <c r="AS16" s="27" t="str">
        <f t="shared" ref="AS16:AT16" si="36">AM16</f>
        <v>No Tdap</v>
      </c>
      <c r="AT16" s="27">
        <f t="shared" si="36"/>
        <v>4188</v>
      </c>
      <c r="AU16" s="27" t="s">
        <v>34</v>
      </c>
      <c r="AV16" s="27" t="s">
        <v>34</v>
      </c>
      <c r="AW16" s="27" t="s">
        <v>34</v>
      </c>
      <c r="AX16" s="29"/>
      <c r="AY16" s="27" t="str">
        <f t="shared" ref="AY16:AZ16" si="37">AS16</f>
        <v>No Tdap</v>
      </c>
      <c r="AZ16" s="27">
        <f t="shared" si="37"/>
        <v>4188</v>
      </c>
      <c r="BA16" s="27" t="s">
        <v>34</v>
      </c>
      <c r="BB16" s="27" t="s">
        <v>34</v>
      </c>
      <c r="BC16" s="27" t="s">
        <v>34</v>
      </c>
      <c r="BD16" s="29"/>
      <c r="BE16" s="27" t="str">
        <f t="shared" ref="BE16:BF16" si="38">AY16</f>
        <v>No Tdap</v>
      </c>
      <c r="BF16" s="27">
        <f t="shared" si="38"/>
        <v>4188</v>
      </c>
      <c r="BG16" s="27" t="s">
        <v>34</v>
      </c>
      <c r="BH16" s="27" t="s">
        <v>34</v>
      </c>
      <c r="BI16" s="27" t="s">
        <v>34</v>
      </c>
      <c r="BJ16" s="29"/>
      <c r="BK16" s="27" t="str">
        <f t="shared" ref="BK16:BL16" si="39">BE16</f>
        <v>No Tdap</v>
      </c>
      <c r="BL16" s="27">
        <f t="shared" si="39"/>
        <v>4188</v>
      </c>
      <c r="BM16" s="27" t="s">
        <v>1650</v>
      </c>
      <c r="BN16" s="29"/>
      <c r="BO16" s="29"/>
      <c r="BP16" s="29" t="s">
        <v>1651</v>
      </c>
    </row>
    <row r="17" spans="1:68" ht="15.75" customHeight="1" x14ac:dyDescent="0.15">
      <c r="A17" s="27">
        <v>374</v>
      </c>
      <c r="B17" s="27" t="s">
        <v>378</v>
      </c>
      <c r="C17" s="27" t="s">
        <v>33</v>
      </c>
      <c r="D17" s="35">
        <v>42916</v>
      </c>
      <c r="E17" s="29" t="s">
        <v>34</v>
      </c>
      <c r="F17" s="29" t="s">
        <v>34</v>
      </c>
      <c r="G17" s="29"/>
      <c r="H17" s="29"/>
      <c r="I17" s="27" t="s">
        <v>33</v>
      </c>
      <c r="J17" s="29" t="s">
        <v>34</v>
      </c>
      <c r="K17" s="29" t="s">
        <v>34</v>
      </c>
      <c r="L17" s="29" t="s">
        <v>34</v>
      </c>
      <c r="M17" s="29" t="s">
        <v>34</v>
      </c>
      <c r="N17" s="29"/>
      <c r="O17" s="27" t="s">
        <v>33</v>
      </c>
      <c r="P17" s="29" t="s">
        <v>34</v>
      </c>
      <c r="Q17" s="29" t="s">
        <v>34</v>
      </c>
      <c r="R17" s="29" t="s">
        <v>34</v>
      </c>
      <c r="S17" s="29" t="s">
        <v>34</v>
      </c>
      <c r="T17" s="29"/>
      <c r="U17" s="27" t="s">
        <v>46</v>
      </c>
      <c r="V17" s="35">
        <v>42916</v>
      </c>
      <c r="W17" s="35">
        <v>3855</v>
      </c>
      <c r="X17" s="29" t="s">
        <v>34</v>
      </c>
      <c r="Y17" s="29" t="s">
        <v>1652</v>
      </c>
      <c r="Z17" s="29" t="s">
        <v>1653</v>
      </c>
      <c r="AA17" s="27" t="s">
        <v>46</v>
      </c>
      <c r="AB17" s="35">
        <v>42916</v>
      </c>
      <c r="AC17" s="35">
        <v>3514</v>
      </c>
      <c r="AD17" s="29" t="s">
        <v>34</v>
      </c>
      <c r="AE17" s="29" t="s">
        <v>1654</v>
      </c>
      <c r="AF17" s="29" t="s">
        <v>1653</v>
      </c>
      <c r="AG17" s="27" t="s">
        <v>33</v>
      </c>
      <c r="AH17" s="35">
        <v>42916</v>
      </c>
      <c r="AI17" s="29" t="s">
        <v>34</v>
      </c>
      <c r="AJ17" s="29" t="s">
        <v>34</v>
      </c>
      <c r="AK17" s="29" t="s">
        <v>34</v>
      </c>
      <c r="AL17" s="29"/>
      <c r="AM17" s="27" t="s">
        <v>46</v>
      </c>
      <c r="AN17" s="35">
        <v>42916</v>
      </c>
      <c r="AO17" s="35">
        <v>2416</v>
      </c>
      <c r="AP17" s="29" t="s">
        <v>34</v>
      </c>
      <c r="AQ17" s="29" t="s">
        <v>1655</v>
      </c>
      <c r="AR17" s="29" t="s">
        <v>1653</v>
      </c>
      <c r="AS17" s="27" t="s">
        <v>46</v>
      </c>
      <c r="AT17" s="35">
        <v>42916</v>
      </c>
      <c r="AU17" s="35">
        <v>6513</v>
      </c>
      <c r="AV17" s="29" t="s">
        <v>34</v>
      </c>
      <c r="AW17" s="29"/>
      <c r="AX17" s="29"/>
      <c r="AY17" s="27" t="s">
        <v>33</v>
      </c>
      <c r="AZ17" s="29"/>
      <c r="BA17" s="29" t="s">
        <v>34</v>
      </c>
      <c r="BB17" s="29"/>
      <c r="BC17" s="29"/>
      <c r="BD17" s="29"/>
      <c r="BE17" s="27" t="s">
        <v>33</v>
      </c>
      <c r="BF17" s="29"/>
      <c r="BG17" s="29" t="s">
        <v>34</v>
      </c>
      <c r="BH17" s="29"/>
      <c r="BI17" s="29"/>
      <c r="BJ17" s="29"/>
      <c r="BK17" s="27" t="s">
        <v>33</v>
      </c>
      <c r="BL17" s="29"/>
      <c r="BM17" s="29" t="s">
        <v>34</v>
      </c>
      <c r="BN17" s="29"/>
      <c r="BO17" s="29"/>
      <c r="BP17" s="29"/>
    </row>
    <row r="18" spans="1:68" ht="15.75" customHeight="1" x14ac:dyDescent="0.15">
      <c r="A18" s="27">
        <v>374</v>
      </c>
      <c r="B18" s="27" t="s">
        <v>378</v>
      </c>
      <c r="C18" s="27" t="s">
        <v>46</v>
      </c>
      <c r="D18" s="35">
        <v>39077</v>
      </c>
      <c r="E18" s="29" t="s">
        <v>34</v>
      </c>
      <c r="F18" s="29" t="s">
        <v>34</v>
      </c>
      <c r="G18" s="29"/>
      <c r="H18" s="29"/>
      <c r="I18" s="27" t="s">
        <v>46</v>
      </c>
      <c r="J18" s="29" t="s">
        <v>34</v>
      </c>
      <c r="K18" s="29" t="s">
        <v>34</v>
      </c>
      <c r="L18" s="29" t="s">
        <v>34</v>
      </c>
      <c r="M18" s="29" t="s">
        <v>34</v>
      </c>
      <c r="N18" s="29"/>
      <c r="O18" s="27" t="s">
        <v>46</v>
      </c>
      <c r="P18" s="29" t="s">
        <v>34</v>
      </c>
      <c r="Q18" s="29" t="s">
        <v>34</v>
      </c>
      <c r="R18" s="29" t="s">
        <v>34</v>
      </c>
      <c r="S18" s="29" t="s">
        <v>34</v>
      </c>
      <c r="T18" s="29"/>
      <c r="U18" s="27" t="s">
        <v>33</v>
      </c>
      <c r="V18" s="35">
        <v>39077</v>
      </c>
      <c r="W18" s="35">
        <v>2235</v>
      </c>
      <c r="X18" s="29"/>
      <c r="Y18" s="29"/>
      <c r="Z18" s="29"/>
      <c r="AA18" s="27" t="s">
        <v>33</v>
      </c>
      <c r="AB18" s="35">
        <v>39077</v>
      </c>
      <c r="AC18" s="35">
        <v>3139</v>
      </c>
      <c r="AD18" s="29"/>
      <c r="AE18" s="29"/>
      <c r="AF18" s="29"/>
      <c r="AG18" s="27" t="s">
        <v>46</v>
      </c>
      <c r="AH18" s="35">
        <v>39077</v>
      </c>
      <c r="AI18" s="29" t="s">
        <v>34</v>
      </c>
      <c r="AJ18" s="29" t="s">
        <v>34</v>
      </c>
      <c r="AK18" s="29" t="s">
        <v>34</v>
      </c>
      <c r="AL18" s="29"/>
      <c r="AM18" s="27" t="s">
        <v>33</v>
      </c>
      <c r="AN18" s="35">
        <v>39077</v>
      </c>
      <c r="AO18" s="35">
        <v>2232</v>
      </c>
      <c r="AP18" s="29"/>
      <c r="AQ18" s="29"/>
      <c r="AR18" s="29"/>
      <c r="AS18" s="27" t="s">
        <v>33</v>
      </c>
      <c r="AT18" s="35">
        <v>39077</v>
      </c>
      <c r="AU18" s="35">
        <v>6238</v>
      </c>
      <c r="AV18" s="29"/>
      <c r="AW18" s="29"/>
      <c r="AX18" s="29"/>
      <c r="AY18" s="27" t="s">
        <v>46</v>
      </c>
      <c r="AZ18" s="29"/>
      <c r="BA18" s="29" t="s">
        <v>34</v>
      </c>
      <c r="BB18" s="29"/>
      <c r="BC18" s="29"/>
      <c r="BD18" s="29"/>
      <c r="BE18" s="27" t="s">
        <v>46</v>
      </c>
      <c r="BF18" s="29"/>
      <c r="BG18" s="29" t="s">
        <v>34</v>
      </c>
      <c r="BH18" s="29"/>
      <c r="BI18" s="29"/>
      <c r="BJ18" s="29"/>
      <c r="BK18" s="27" t="s">
        <v>46</v>
      </c>
      <c r="BL18" s="29"/>
      <c r="BM18" s="29" t="s">
        <v>34</v>
      </c>
      <c r="BN18" s="29"/>
      <c r="BO18" s="29"/>
      <c r="BP18" s="29"/>
    </row>
    <row r="19" spans="1:68" ht="15.75" customHeight="1" x14ac:dyDescent="0.15">
      <c r="A19" s="27">
        <v>4101</v>
      </c>
      <c r="B19" s="27" t="s">
        <v>503</v>
      </c>
      <c r="C19" s="27" t="s">
        <v>33</v>
      </c>
      <c r="D19" s="27">
        <v>2375</v>
      </c>
      <c r="E19" s="27" t="s">
        <v>34</v>
      </c>
      <c r="F19" s="27" t="s">
        <v>34</v>
      </c>
      <c r="G19" s="27" t="s">
        <v>34</v>
      </c>
      <c r="H19" s="29"/>
      <c r="I19" s="27" t="s">
        <v>33</v>
      </c>
      <c r="J19" s="27">
        <v>2375</v>
      </c>
      <c r="K19" s="27" t="s">
        <v>34</v>
      </c>
      <c r="L19" s="27" t="s">
        <v>34</v>
      </c>
      <c r="M19" s="27" t="s">
        <v>34</v>
      </c>
      <c r="N19" s="29"/>
      <c r="O19" s="27" t="s">
        <v>33</v>
      </c>
      <c r="P19" s="27">
        <v>2375</v>
      </c>
      <c r="Q19" s="27" t="s">
        <v>34</v>
      </c>
      <c r="R19" s="27" t="s">
        <v>34</v>
      </c>
      <c r="S19" s="27" t="s">
        <v>34</v>
      </c>
      <c r="T19" s="29"/>
      <c r="U19" s="27" t="s">
        <v>33</v>
      </c>
      <c r="V19" s="27">
        <v>2375</v>
      </c>
      <c r="W19" s="27">
        <v>178</v>
      </c>
      <c r="X19" s="27" t="s">
        <v>34</v>
      </c>
      <c r="Y19" s="27" t="s">
        <v>1656</v>
      </c>
      <c r="Z19" s="29"/>
      <c r="AA19" s="27" t="s">
        <v>33</v>
      </c>
      <c r="AB19" s="27">
        <v>2375</v>
      </c>
      <c r="AC19" s="27" t="s">
        <v>34</v>
      </c>
      <c r="AD19" s="27" t="s">
        <v>34</v>
      </c>
      <c r="AE19" s="27" t="s">
        <v>34</v>
      </c>
      <c r="AF19" s="29"/>
      <c r="AG19" s="27" t="s">
        <v>33</v>
      </c>
      <c r="AH19" s="27">
        <v>2375</v>
      </c>
      <c r="AI19" s="27" t="s">
        <v>34</v>
      </c>
      <c r="AJ19" s="27" t="s">
        <v>34</v>
      </c>
      <c r="AK19" s="27" t="s">
        <v>34</v>
      </c>
      <c r="AL19" s="29"/>
      <c r="AM19" s="27" t="s">
        <v>33</v>
      </c>
      <c r="AN19" s="27">
        <v>2375</v>
      </c>
      <c r="AO19" s="27" t="s">
        <v>34</v>
      </c>
      <c r="AP19" s="27" t="s">
        <v>34</v>
      </c>
      <c r="AQ19" s="27" t="s">
        <v>34</v>
      </c>
      <c r="AR19" s="29"/>
      <c r="AS19" s="27" t="s">
        <v>33</v>
      </c>
      <c r="AT19" s="27">
        <v>2375</v>
      </c>
      <c r="AU19" s="27" t="s">
        <v>34</v>
      </c>
      <c r="AV19" s="27" t="s">
        <v>34</v>
      </c>
      <c r="AW19" s="27" t="s">
        <v>34</v>
      </c>
      <c r="AX19" s="29"/>
      <c r="AY19" s="27" t="s">
        <v>33</v>
      </c>
      <c r="AZ19" s="27">
        <v>2375</v>
      </c>
      <c r="BA19" s="27" t="s">
        <v>34</v>
      </c>
      <c r="BB19" s="27" t="s">
        <v>34</v>
      </c>
      <c r="BC19" s="27" t="s">
        <v>34</v>
      </c>
      <c r="BD19" s="29"/>
      <c r="BE19" s="27" t="s">
        <v>33</v>
      </c>
      <c r="BF19" s="27">
        <v>2375</v>
      </c>
      <c r="BG19" s="27" t="s">
        <v>34</v>
      </c>
      <c r="BH19" s="27" t="s">
        <v>34</v>
      </c>
      <c r="BI19" s="27" t="s">
        <v>34</v>
      </c>
      <c r="BJ19" s="29"/>
      <c r="BK19" s="27" t="s">
        <v>33</v>
      </c>
      <c r="BL19" s="27">
        <v>2375</v>
      </c>
      <c r="BM19" s="27" t="s">
        <v>34</v>
      </c>
      <c r="BN19" s="27" t="s">
        <v>34</v>
      </c>
      <c r="BO19" s="27" t="s">
        <v>34</v>
      </c>
      <c r="BP19" s="29"/>
    </row>
    <row r="20" spans="1:68" ht="15.75" customHeight="1" x14ac:dyDescent="0.15">
      <c r="A20" s="27">
        <v>4101</v>
      </c>
      <c r="B20" s="27" t="s">
        <v>503</v>
      </c>
      <c r="C20" s="27" t="s">
        <v>46</v>
      </c>
      <c r="D20" s="27">
        <v>923</v>
      </c>
      <c r="E20" s="27" t="s">
        <v>34</v>
      </c>
      <c r="F20" s="27" t="s">
        <v>34</v>
      </c>
      <c r="G20" s="27" t="s">
        <v>34</v>
      </c>
      <c r="H20" s="29"/>
      <c r="I20" s="27" t="s">
        <v>46</v>
      </c>
      <c r="J20" s="27">
        <v>923</v>
      </c>
      <c r="K20" s="27" t="s">
        <v>34</v>
      </c>
      <c r="L20" s="27" t="s">
        <v>34</v>
      </c>
      <c r="M20" s="27" t="s">
        <v>34</v>
      </c>
      <c r="N20" s="29"/>
      <c r="O20" s="27" t="s">
        <v>46</v>
      </c>
      <c r="P20" s="27">
        <v>923</v>
      </c>
      <c r="Q20" s="27" t="s">
        <v>34</v>
      </c>
      <c r="R20" s="27" t="s">
        <v>34</v>
      </c>
      <c r="S20" s="27" t="s">
        <v>34</v>
      </c>
      <c r="T20" s="29"/>
      <c r="U20" s="27" t="s">
        <v>46</v>
      </c>
      <c r="V20" s="27">
        <v>923</v>
      </c>
      <c r="W20" s="27">
        <v>92</v>
      </c>
      <c r="X20" s="27" t="s">
        <v>34</v>
      </c>
      <c r="Y20" s="27" t="s">
        <v>1656</v>
      </c>
      <c r="Z20" s="29"/>
      <c r="AA20" s="27" t="s">
        <v>46</v>
      </c>
      <c r="AB20" s="27">
        <v>923</v>
      </c>
      <c r="AC20" s="27" t="s">
        <v>34</v>
      </c>
      <c r="AD20" s="27" t="s">
        <v>34</v>
      </c>
      <c r="AE20" s="27" t="s">
        <v>34</v>
      </c>
      <c r="AF20" s="29"/>
      <c r="AG20" s="27" t="s">
        <v>46</v>
      </c>
      <c r="AH20" s="27">
        <v>923</v>
      </c>
      <c r="AI20" s="27" t="s">
        <v>34</v>
      </c>
      <c r="AJ20" s="27" t="s">
        <v>34</v>
      </c>
      <c r="AK20" s="27" t="s">
        <v>34</v>
      </c>
      <c r="AL20" s="29"/>
      <c r="AM20" s="27" t="s">
        <v>46</v>
      </c>
      <c r="AN20" s="27">
        <v>923</v>
      </c>
      <c r="AO20" s="27" t="s">
        <v>34</v>
      </c>
      <c r="AP20" s="27" t="s">
        <v>34</v>
      </c>
      <c r="AQ20" s="27" t="s">
        <v>34</v>
      </c>
      <c r="AR20" s="29"/>
      <c r="AS20" s="27" t="s">
        <v>46</v>
      </c>
      <c r="AT20" s="27">
        <v>923</v>
      </c>
      <c r="AU20" s="27" t="s">
        <v>34</v>
      </c>
      <c r="AV20" s="27" t="s">
        <v>34</v>
      </c>
      <c r="AW20" s="27" t="s">
        <v>34</v>
      </c>
      <c r="AX20" s="29"/>
      <c r="AY20" s="27" t="s">
        <v>46</v>
      </c>
      <c r="AZ20" s="27">
        <v>923</v>
      </c>
      <c r="BA20" s="27" t="s">
        <v>34</v>
      </c>
      <c r="BB20" s="27" t="s">
        <v>34</v>
      </c>
      <c r="BC20" s="27" t="s">
        <v>34</v>
      </c>
      <c r="BD20" s="29"/>
      <c r="BE20" s="27" t="s">
        <v>46</v>
      </c>
      <c r="BF20" s="27">
        <v>923</v>
      </c>
      <c r="BG20" s="27" t="s">
        <v>34</v>
      </c>
      <c r="BH20" s="27" t="s">
        <v>34</v>
      </c>
      <c r="BI20" s="27" t="s">
        <v>34</v>
      </c>
      <c r="BJ20" s="29"/>
      <c r="BK20" s="27" t="s">
        <v>46</v>
      </c>
      <c r="BL20" s="27">
        <v>923</v>
      </c>
      <c r="BM20" s="27" t="s">
        <v>34</v>
      </c>
      <c r="BN20" s="27" t="s">
        <v>34</v>
      </c>
      <c r="BO20" s="27" t="s">
        <v>34</v>
      </c>
      <c r="BP20" s="29"/>
    </row>
    <row r="21" spans="1:68" ht="33" customHeight="1" x14ac:dyDescent="0.15">
      <c r="A21" s="27">
        <v>3810</v>
      </c>
      <c r="B21" s="27" t="s">
        <v>517</v>
      </c>
      <c r="C21" s="27" t="s">
        <v>33</v>
      </c>
      <c r="D21" s="27">
        <v>69</v>
      </c>
      <c r="E21" s="27">
        <v>0</v>
      </c>
      <c r="F21" s="29"/>
      <c r="G21" s="27" t="s">
        <v>1657</v>
      </c>
      <c r="H21" s="27" t="s">
        <v>1658</v>
      </c>
      <c r="I21" s="27" t="str">
        <f t="shared" ref="I21:J21" si="40">C21</f>
        <v>Tdap</v>
      </c>
      <c r="J21" s="27">
        <f t="shared" si="40"/>
        <v>69</v>
      </c>
      <c r="K21" s="27" t="s">
        <v>34</v>
      </c>
      <c r="L21" s="27" t="s">
        <v>34</v>
      </c>
      <c r="M21" s="27" t="s">
        <v>34</v>
      </c>
      <c r="N21" s="27" t="str">
        <f t="shared" ref="N21:P21" si="41">H21</f>
        <v>Seronegativity with Tdap
(N = 69)</v>
      </c>
      <c r="O21" s="27" t="str">
        <f t="shared" si="41"/>
        <v>Tdap</v>
      </c>
      <c r="P21" s="27">
        <f t="shared" si="41"/>
        <v>69</v>
      </c>
      <c r="Q21" s="27">
        <v>0</v>
      </c>
      <c r="R21" s="29"/>
      <c r="S21" s="27" t="s">
        <v>1659</v>
      </c>
      <c r="T21" s="27" t="str">
        <f t="shared" ref="T21:V21" si="42">N21</f>
        <v>Seronegativity with Tdap
(N = 69)</v>
      </c>
      <c r="U21" s="27" t="str">
        <f t="shared" si="42"/>
        <v>Tdap</v>
      </c>
      <c r="V21" s="27">
        <f t="shared" si="42"/>
        <v>69</v>
      </c>
      <c r="W21" s="27">
        <v>2</v>
      </c>
      <c r="X21" s="27" t="s">
        <v>1660</v>
      </c>
      <c r="Y21" s="29"/>
      <c r="Z21" s="27" t="str">
        <f t="shared" ref="Z21:AB21" si="43">T21</f>
        <v>Seronegativity with Tdap
(N = 69)</v>
      </c>
      <c r="AA21" s="27" t="str">
        <f t="shared" si="43"/>
        <v>Tdap</v>
      </c>
      <c r="AB21" s="27">
        <f t="shared" si="43"/>
        <v>69</v>
      </c>
      <c r="AC21" s="27">
        <v>4</v>
      </c>
      <c r="AD21" s="27" t="s">
        <v>1661</v>
      </c>
      <c r="AE21" s="29"/>
      <c r="AF21" s="27" t="str">
        <f t="shared" ref="AF21:AH21" si="44">Z21</f>
        <v>Seronegativity with Tdap
(N = 69)</v>
      </c>
      <c r="AG21" s="27" t="str">
        <f t="shared" si="44"/>
        <v>Tdap</v>
      </c>
      <c r="AH21" s="27">
        <f t="shared" si="44"/>
        <v>69</v>
      </c>
      <c r="AI21" s="27" t="s">
        <v>34</v>
      </c>
      <c r="AJ21" s="27" t="s">
        <v>34</v>
      </c>
      <c r="AK21" s="27" t="s">
        <v>34</v>
      </c>
      <c r="AL21" s="27" t="str">
        <f t="shared" ref="AL21:AN21" si="45">AF21</f>
        <v>Seronegativity with Tdap
(N = 69)</v>
      </c>
      <c r="AM21" s="27" t="str">
        <f t="shared" si="45"/>
        <v>Tdap</v>
      </c>
      <c r="AN21" s="27">
        <f t="shared" si="45"/>
        <v>69</v>
      </c>
      <c r="AO21" s="27" t="s">
        <v>34</v>
      </c>
      <c r="AP21" s="27" t="s">
        <v>34</v>
      </c>
      <c r="AQ21" s="27" t="s">
        <v>34</v>
      </c>
      <c r="AR21" s="27" t="str">
        <f t="shared" ref="AR21:AT21" si="46">AL21</f>
        <v>Seronegativity with Tdap
(N = 69)</v>
      </c>
      <c r="AS21" s="27" t="str">
        <f t="shared" si="46"/>
        <v>Tdap</v>
      </c>
      <c r="AT21" s="27">
        <f t="shared" si="46"/>
        <v>69</v>
      </c>
      <c r="AU21" s="27">
        <v>10</v>
      </c>
      <c r="AV21" s="29"/>
      <c r="AW21" s="27" t="s">
        <v>1662</v>
      </c>
      <c r="AX21" s="27" t="str">
        <f t="shared" ref="AX21:AZ21" si="47">AR21</f>
        <v>Seronegativity with Tdap
(N = 69)</v>
      </c>
      <c r="AY21" s="27" t="str">
        <f t="shared" si="47"/>
        <v>Tdap</v>
      </c>
      <c r="AZ21" s="27">
        <f t="shared" si="47"/>
        <v>69</v>
      </c>
      <c r="BA21" s="27">
        <v>3</v>
      </c>
      <c r="BB21" s="29"/>
      <c r="BC21" s="27" t="s">
        <v>1663</v>
      </c>
      <c r="BD21" s="27" t="str">
        <f t="shared" ref="BD21:BF21" si="48">AX21</f>
        <v>Seronegativity with Tdap
(N = 69)</v>
      </c>
      <c r="BE21" s="27" t="str">
        <f t="shared" si="48"/>
        <v>Tdap</v>
      </c>
      <c r="BF21" s="27">
        <f t="shared" si="48"/>
        <v>69</v>
      </c>
      <c r="BG21" s="27" t="s">
        <v>34</v>
      </c>
      <c r="BH21" s="27" t="s">
        <v>34</v>
      </c>
      <c r="BI21" s="27" t="s">
        <v>34</v>
      </c>
      <c r="BJ21" s="27" t="str">
        <f t="shared" ref="BJ21:BL21" si="49">BD21</f>
        <v>Seronegativity with Tdap
(N = 69)</v>
      </c>
      <c r="BK21" s="27" t="str">
        <f t="shared" si="49"/>
        <v>Tdap</v>
      </c>
      <c r="BL21" s="27">
        <f t="shared" si="49"/>
        <v>69</v>
      </c>
      <c r="BM21" s="27" t="s">
        <v>34</v>
      </c>
      <c r="BN21" s="27" t="s">
        <v>34</v>
      </c>
      <c r="BO21" s="27" t="s">
        <v>34</v>
      </c>
      <c r="BP21" s="27" t="str">
        <f t="shared" ref="BP21:BP28" si="50">BJ21</f>
        <v>Seronegativity with Tdap
(N = 69)</v>
      </c>
    </row>
    <row r="22" spans="1:68" ht="33" customHeight="1" x14ac:dyDescent="0.15">
      <c r="A22" s="27">
        <v>3810</v>
      </c>
      <c r="B22" s="27" t="s">
        <v>517</v>
      </c>
      <c r="C22" s="27" t="s">
        <v>33</v>
      </c>
      <c r="D22" s="27">
        <v>18</v>
      </c>
      <c r="E22" s="27">
        <v>0</v>
      </c>
      <c r="F22" s="29"/>
      <c r="G22" s="29"/>
      <c r="H22" s="27" t="s">
        <v>1664</v>
      </c>
      <c r="I22" s="27" t="str">
        <f t="shared" ref="I22:J22" si="51">C22</f>
        <v>Tdap</v>
      </c>
      <c r="J22" s="27">
        <f t="shared" si="51"/>
        <v>18</v>
      </c>
      <c r="K22" s="27" t="s">
        <v>34</v>
      </c>
      <c r="L22" s="27" t="s">
        <v>34</v>
      </c>
      <c r="M22" s="27" t="s">
        <v>34</v>
      </c>
      <c r="N22" s="27" t="str">
        <f t="shared" ref="N22:P22" si="52">H22</f>
        <v>Seropositivity with Tdap
(N = 18)
Randomized</v>
      </c>
      <c r="O22" s="27" t="str">
        <f t="shared" si="52"/>
        <v>Tdap</v>
      </c>
      <c r="P22" s="27">
        <f t="shared" si="52"/>
        <v>18</v>
      </c>
      <c r="Q22" s="27">
        <v>0</v>
      </c>
      <c r="R22" s="29"/>
      <c r="S22" s="29"/>
      <c r="T22" s="27" t="str">
        <f t="shared" ref="T22:V22" si="53">N22</f>
        <v>Seropositivity with Tdap
(N = 18)
Randomized</v>
      </c>
      <c r="U22" s="27" t="str">
        <f t="shared" si="53"/>
        <v>Tdap</v>
      </c>
      <c r="V22" s="27">
        <f t="shared" si="53"/>
        <v>18</v>
      </c>
      <c r="W22" s="27">
        <v>2</v>
      </c>
      <c r="X22" s="29"/>
      <c r="Y22" s="29"/>
      <c r="Z22" s="27" t="str">
        <f t="shared" ref="Z22:AB22" si="54">T22</f>
        <v>Seropositivity with Tdap
(N = 18)
Randomized</v>
      </c>
      <c r="AA22" s="27" t="str">
        <f t="shared" si="54"/>
        <v>Tdap</v>
      </c>
      <c r="AB22" s="27">
        <f t="shared" si="54"/>
        <v>18</v>
      </c>
      <c r="AC22" s="27">
        <v>0</v>
      </c>
      <c r="AD22" s="29"/>
      <c r="AE22" s="29"/>
      <c r="AF22" s="27" t="str">
        <f t="shared" ref="AF22:AH22" si="55">Z22</f>
        <v>Seropositivity with Tdap
(N = 18)
Randomized</v>
      </c>
      <c r="AG22" s="27" t="str">
        <f t="shared" si="55"/>
        <v>Tdap</v>
      </c>
      <c r="AH22" s="27">
        <f t="shared" si="55"/>
        <v>18</v>
      </c>
      <c r="AI22" s="27" t="s">
        <v>34</v>
      </c>
      <c r="AJ22" s="27" t="s">
        <v>34</v>
      </c>
      <c r="AK22" s="27" t="s">
        <v>34</v>
      </c>
      <c r="AL22" s="27" t="str">
        <f t="shared" ref="AL22:AN22" si="56">AF22</f>
        <v>Seropositivity with Tdap
(N = 18)
Randomized</v>
      </c>
      <c r="AM22" s="27" t="str">
        <f t="shared" si="56"/>
        <v>Tdap</v>
      </c>
      <c r="AN22" s="27">
        <f t="shared" si="56"/>
        <v>18</v>
      </c>
      <c r="AO22" s="27" t="s">
        <v>34</v>
      </c>
      <c r="AP22" s="27" t="s">
        <v>34</v>
      </c>
      <c r="AQ22" s="27" t="s">
        <v>34</v>
      </c>
      <c r="AR22" s="27" t="str">
        <f t="shared" ref="AR22:AT22" si="57">AL22</f>
        <v>Seropositivity with Tdap
(N = 18)
Randomized</v>
      </c>
      <c r="AS22" s="27" t="str">
        <f t="shared" si="57"/>
        <v>Tdap</v>
      </c>
      <c r="AT22" s="27">
        <f t="shared" si="57"/>
        <v>18</v>
      </c>
      <c r="AU22" s="27">
        <v>2</v>
      </c>
      <c r="AV22" s="29"/>
      <c r="AW22" s="29"/>
      <c r="AX22" s="27" t="str">
        <f t="shared" ref="AX22:AZ22" si="58">AR22</f>
        <v>Seropositivity with Tdap
(N = 18)
Randomized</v>
      </c>
      <c r="AY22" s="27" t="str">
        <f t="shared" si="58"/>
        <v>Tdap</v>
      </c>
      <c r="AZ22" s="27">
        <f t="shared" si="58"/>
        <v>18</v>
      </c>
      <c r="BA22" s="27">
        <v>1</v>
      </c>
      <c r="BB22" s="29"/>
      <c r="BC22" s="29"/>
      <c r="BD22" s="27" t="str">
        <f t="shared" ref="BD22:BF22" si="59">AX22</f>
        <v>Seropositivity with Tdap
(N = 18)
Randomized</v>
      </c>
      <c r="BE22" s="27" t="str">
        <f t="shared" si="59"/>
        <v>Tdap</v>
      </c>
      <c r="BF22" s="27">
        <f t="shared" si="59"/>
        <v>18</v>
      </c>
      <c r="BG22" s="27" t="s">
        <v>34</v>
      </c>
      <c r="BH22" s="27" t="s">
        <v>34</v>
      </c>
      <c r="BI22" s="27" t="s">
        <v>34</v>
      </c>
      <c r="BJ22" s="27" t="str">
        <f t="shared" ref="BJ22:BL22" si="60">BD22</f>
        <v>Seropositivity with Tdap
(N = 18)
Randomized</v>
      </c>
      <c r="BK22" s="27" t="str">
        <f t="shared" si="60"/>
        <v>Tdap</v>
      </c>
      <c r="BL22" s="27">
        <f t="shared" si="60"/>
        <v>18</v>
      </c>
      <c r="BM22" s="27" t="s">
        <v>34</v>
      </c>
      <c r="BN22" s="27" t="s">
        <v>34</v>
      </c>
      <c r="BO22" s="27" t="s">
        <v>34</v>
      </c>
      <c r="BP22" s="27" t="str">
        <f t="shared" si="50"/>
        <v>Seropositivity with Tdap
(N = 18)
Randomized</v>
      </c>
    </row>
    <row r="23" spans="1:68" ht="33" customHeight="1" x14ac:dyDescent="0.15">
      <c r="A23" s="27">
        <v>3810</v>
      </c>
      <c r="B23" s="27" t="s">
        <v>517</v>
      </c>
      <c r="C23" s="27" t="s">
        <v>33</v>
      </c>
      <c r="D23" s="27">
        <f t="shared" ref="D23:E23" si="61">D21+D22</f>
        <v>87</v>
      </c>
      <c r="E23" s="27">
        <f t="shared" si="61"/>
        <v>0</v>
      </c>
      <c r="F23" s="29"/>
      <c r="G23" s="29"/>
      <c r="H23" s="27" t="s">
        <v>1665</v>
      </c>
      <c r="I23" s="27" t="str">
        <f t="shared" ref="I23:J23" si="62">C23</f>
        <v>Tdap</v>
      </c>
      <c r="J23" s="27">
        <f t="shared" si="62"/>
        <v>87</v>
      </c>
      <c r="K23" s="27" t="s">
        <v>34</v>
      </c>
      <c r="L23" s="27" t="s">
        <v>34</v>
      </c>
      <c r="M23" s="27" t="s">
        <v>34</v>
      </c>
      <c r="N23" s="27" t="str">
        <f t="shared" ref="N23:P23" si="63">H23</f>
        <v>Seronegativity with Tdap
(N = 69) + Seropositivity with Tdap (N = 18)</v>
      </c>
      <c r="O23" s="27" t="str">
        <f t="shared" si="63"/>
        <v>Tdap</v>
      </c>
      <c r="P23" s="27">
        <f t="shared" si="63"/>
        <v>87</v>
      </c>
      <c r="Q23" s="27">
        <f>Q21+Q22</f>
        <v>0</v>
      </c>
      <c r="R23" s="29"/>
      <c r="S23" s="29"/>
      <c r="T23" s="27" t="str">
        <f t="shared" ref="T23:V23" si="64">N23</f>
        <v>Seronegativity with Tdap
(N = 69) + Seropositivity with Tdap (N = 18)</v>
      </c>
      <c r="U23" s="27" t="str">
        <f t="shared" si="64"/>
        <v>Tdap</v>
      </c>
      <c r="V23" s="27">
        <f t="shared" si="64"/>
        <v>87</v>
      </c>
      <c r="W23" s="27">
        <f>W21+W22</f>
        <v>4</v>
      </c>
      <c r="X23" s="29"/>
      <c r="Y23" s="29"/>
      <c r="Z23" s="27" t="str">
        <f t="shared" ref="Z23:AB23" si="65">T23</f>
        <v>Seronegativity with Tdap
(N = 69) + Seropositivity with Tdap (N = 18)</v>
      </c>
      <c r="AA23" s="27" t="str">
        <f t="shared" si="65"/>
        <v>Tdap</v>
      </c>
      <c r="AB23" s="27">
        <f t="shared" si="65"/>
        <v>87</v>
      </c>
      <c r="AC23" s="27">
        <f>AC21+AC22</f>
        <v>4</v>
      </c>
      <c r="AD23" s="29"/>
      <c r="AE23" s="29"/>
      <c r="AF23" s="27" t="str">
        <f t="shared" ref="AF23:AH23" si="66">Z23</f>
        <v>Seronegativity with Tdap
(N = 69) + Seropositivity with Tdap (N = 18)</v>
      </c>
      <c r="AG23" s="27" t="str">
        <f t="shared" si="66"/>
        <v>Tdap</v>
      </c>
      <c r="AH23" s="27">
        <f t="shared" si="66"/>
        <v>87</v>
      </c>
      <c r="AI23" s="27" t="s">
        <v>34</v>
      </c>
      <c r="AJ23" s="27" t="s">
        <v>34</v>
      </c>
      <c r="AK23" s="27" t="s">
        <v>34</v>
      </c>
      <c r="AL23" s="27" t="str">
        <f t="shared" ref="AL23:AN23" si="67">AF23</f>
        <v>Seronegativity with Tdap
(N = 69) + Seropositivity with Tdap (N = 18)</v>
      </c>
      <c r="AM23" s="27" t="str">
        <f t="shared" si="67"/>
        <v>Tdap</v>
      </c>
      <c r="AN23" s="27">
        <f t="shared" si="67"/>
        <v>87</v>
      </c>
      <c r="AO23" s="27" t="s">
        <v>34</v>
      </c>
      <c r="AP23" s="27" t="s">
        <v>34</v>
      </c>
      <c r="AQ23" s="27" t="s">
        <v>34</v>
      </c>
      <c r="AR23" s="27" t="str">
        <f t="shared" ref="AR23:AT23" si="68">AL23</f>
        <v>Seronegativity with Tdap
(N = 69) + Seropositivity with Tdap (N = 18)</v>
      </c>
      <c r="AS23" s="27" t="str">
        <f t="shared" si="68"/>
        <v>Tdap</v>
      </c>
      <c r="AT23" s="27">
        <f t="shared" si="68"/>
        <v>87</v>
      </c>
      <c r="AU23" s="27">
        <f>AU21+AU22</f>
        <v>12</v>
      </c>
      <c r="AV23" s="29"/>
      <c r="AW23" s="29"/>
      <c r="AX23" s="27" t="str">
        <f t="shared" ref="AX23:AZ23" si="69">AR23</f>
        <v>Seronegativity with Tdap
(N = 69) + Seropositivity with Tdap (N = 18)</v>
      </c>
      <c r="AY23" s="27" t="str">
        <f t="shared" si="69"/>
        <v>Tdap</v>
      </c>
      <c r="AZ23" s="27">
        <f t="shared" si="69"/>
        <v>87</v>
      </c>
      <c r="BA23" s="27">
        <f>BA21+BA22</f>
        <v>4</v>
      </c>
      <c r="BB23" s="29"/>
      <c r="BC23" s="29"/>
      <c r="BD23" s="27" t="str">
        <f t="shared" ref="BD23:BF23" si="70">AX23</f>
        <v>Seronegativity with Tdap
(N = 69) + Seropositivity with Tdap (N = 18)</v>
      </c>
      <c r="BE23" s="27" t="str">
        <f t="shared" si="70"/>
        <v>Tdap</v>
      </c>
      <c r="BF23" s="27">
        <f t="shared" si="70"/>
        <v>87</v>
      </c>
      <c r="BG23" s="27" t="s">
        <v>34</v>
      </c>
      <c r="BH23" s="27" t="s">
        <v>34</v>
      </c>
      <c r="BI23" s="27" t="s">
        <v>34</v>
      </c>
      <c r="BJ23" s="27" t="str">
        <f t="shared" ref="BJ23:BL23" si="71">BD23</f>
        <v>Seronegativity with Tdap
(N = 69) + Seropositivity with Tdap (N = 18)</v>
      </c>
      <c r="BK23" s="27" t="str">
        <f t="shared" si="71"/>
        <v>Tdap</v>
      </c>
      <c r="BL23" s="27">
        <f t="shared" si="71"/>
        <v>87</v>
      </c>
      <c r="BM23" s="27" t="s">
        <v>34</v>
      </c>
      <c r="BN23" s="27" t="s">
        <v>34</v>
      </c>
      <c r="BO23" s="27" t="s">
        <v>34</v>
      </c>
      <c r="BP23" s="27" t="str">
        <f t="shared" si="50"/>
        <v>Seronegativity with Tdap
(N = 69) + Seropositivity with Tdap (N = 18)</v>
      </c>
    </row>
    <row r="24" spans="1:68" ht="33" customHeight="1" x14ac:dyDescent="0.15">
      <c r="A24" s="27">
        <v>3810</v>
      </c>
      <c r="B24" s="27" t="s">
        <v>517</v>
      </c>
      <c r="C24" s="27" t="s">
        <v>46</v>
      </c>
      <c r="D24" s="27">
        <v>13</v>
      </c>
      <c r="E24" s="27">
        <v>0</v>
      </c>
      <c r="F24" s="29"/>
      <c r="G24" s="29"/>
      <c r="H24" s="27" t="s">
        <v>1666</v>
      </c>
      <c r="I24" s="27" t="str">
        <f t="shared" ref="I24:J24" si="72">C24</f>
        <v>No Tdap</v>
      </c>
      <c r="J24" s="27">
        <f t="shared" si="72"/>
        <v>13</v>
      </c>
      <c r="K24" s="27" t="s">
        <v>34</v>
      </c>
      <c r="L24" s="27" t="s">
        <v>34</v>
      </c>
      <c r="M24" s="27" t="s">
        <v>34</v>
      </c>
      <c r="N24" s="27" t="str">
        <f t="shared" ref="N24:P24" si="73">H24</f>
        <v>Seropositivity with Td
(N = 13)
Randomized</v>
      </c>
      <c r="O24" s="27" t="str">
        <f t="shared" si="73"/>
        <v>No Tdap</v>
      </c>
      <c r="P24" s="27">
        <f t="shared" si="73"/>
        <v>13</v>
      </c>
      <c r="Q24" s="27">
        <v>0</v>
      </c>
      <c r="R24" s="29"/>
      <c r="S24" s="29"/>
      <c r="T24" s="27" t="str">
        <f t="shared" ref="T24:V24" si="74">N24</f>
        <v>Seropositivity with Td
(N = 13)
Randomized</v>
      </c>
      <c r="U24" s="27" t="str">
        <f t="shared" si="74"/>
        <v>No Tdap</v>
      </c>
      <c r="V24" s="27">
        <f t="shared" si="74"/>
        <v>13</v>
      </c>
      <c r="W24" s="27">
        <v>0</v>
      </c>
      <c r="X24" s="29"/>
      <c r="Y24" s="29"/>
      <c r="Z24" s="27" t="str">
        <f t="shared" ref="Z24:AB24" si="75">T24</f>
        <v>Seropositivity with Td
(N = 13)
Randomized</v>
      </c>
      <c r="AA24" s="27" t="str">
        <f t="shared" si="75"/>
        <v>No Tdap</v>
      </c>
      <c r="AB24" s="27">
        <f t="shared" si="75"/>
        <v>13</v>
      </c>
      <c r="AC24" s="27">
        <v>0</v>
      </c>
      <c r="AD24" s="29"/>
      <c r="AE24" s="29"/>
      <c r="AF24" s="27" t="str">
        <f t="shared" ref="AF24:AH24" si="76">Z24</f>
        <v>Seropositivity with Td
(N = 13)
Randomized</v>
      </c>
      <c r="AG24" s="27" t="str">
        <f t="shared" si="76"/>
        <v>No Tdap</v>
      </c>
      <c r="AH24" s="27">
        <f t="shared" si="76"/>
        <v>13</v>
      </c>
      <c r="AI24" s="27" t="s">
        <v>34</v>
      </c>
      <c r="AJ24" s="27" t="s">
        <v>34</v>
      </c>
      <c r="AK24" s="27" t="s">
        <v>34</v>
      </c>
      <c r="AL24" s="27" t="str">
        <f t="shared" ref="AL24:AN24" si="77">AF24</f>
        <v>Seropositivity with Td
(N = 13)
Randomized</v>
      </c>
      <c r="AM24" s="27" t="str">
        <f t="shared" si="77"/>
        <v>No Tdap</v>
      </c>
      <c r="AN24" s="27">
        <f t="shared" si="77"/>
        <v>13</v>
      </c>
      <c r="AO24" s="27" t="s">
        <v>34</v>
      </c>
      <c r="AP24" s="27" t="s">
        <v>34</v>
      </c>
      <c r="AQ24" s="27" t="s">
        <v>34</v>
      </c>
      <c r="AR24" s="27" t="str">
        <f t="shared" ref="AR24:AT24" si="78">AL24</f>
        <v>Seropositivity with Td
(N = 13)
Randomized</v>
      </c>
      <c r="AS24" s="27" t="str">
        <f t="shared" si="78"/>
        <v>No Tdap</v>
      </c>
      <c r="AT24" s="27">
        <f t="shared" si="78"/>
        <v>13</v>
      </c>
      <c r="AU24" s="27">
        <v>3</v>
      </c>
      <c r="AV24" s="29"/>
      <c r="AW24" s="29"/>
      <c r="AX24" s="27" t="str">
        <f t="shared" ref="AX24:AZ24" si="79">AR24</f>
        <v>Seropositivity with Td
(N = 13)
Randomized</v>
      </c>
      <c r="AY24" s="27" t="str">
        <f t="shared" si="79"/>
        <v>No Tdap</v>
      </c>
      <c r="AZ24" s="27">
        <f t="shared" si="79"/>
        <v>13</v>
      </c>
      <c r="BA24" s="27">
        <v>0</v>
      </c>
      <c r="BB24" s="29"/>
      <c r="BC24" s="29"/>
      <c r="BD24" s="27" t="str">
        <f t="shared" ref="BD24:BF24" si="80">AX24</f>
        <v>Seropositivity with Td
(N = 13)
Randomized</v>
      </c>
      <c r="BE24" s="27" t="str">
        <f t="shared" si="80"/>
        <v>No Tdap</v>
      </c>
      <c r="BF24" s="27">
        <f t="shared" si="80"/>
        <v>13</v>
      </c>
      <c r="BG24" s="27" t="s">
        <v>34</v>
      </c>
      <c r="BH24" s="27" t="s">
        <v>34</v>
      </c>
      <c r="BI24" s="27" t="s">
        <v>34</v>
      </c>
      <c r="BJ24" s="27" t="str">
        <f t="shared" ref="BJ24:BL24" si="81">BD24</f>
        <v>Seropositivity with Td
(N = 13)
Randomized</v>
      </c>
      <c r="BK24" s="27" t="str">
        <f t="shared" si="81"/>
        <v>No Tdap</v>
      </c>
      <c r="BL24" s="27">
        <f t="shared" si="81"/>
        <v>13</v>
      </c>
      <c r="BM24" s="27" t="s">
        <v>34</v>
      </c>
      <c r="BN24" s="27" t="s">
        <v>34</v>
      </c>
      <c r="BO24" s="27" t="s">
        <v>34</v>
      </c>
      <c r="BP24" s="27" t="str">
        <f t="shared" si="50"/>
        <v>Seropositivity with Td
(N = 13)
Randomized</v>
      </c>
    </row>
    <row r="25" spans="1:68" ht="27" customHeight="1" x14ac:dyDescent="0.15">
      <c r="A25" s="27">
        <v>2045</v>
      </c>
      <c r="B25" s="36" t="s">
        <v>581</v>
      </c>
      <c r="C25" s="27" t="s">
        <v>593</v>
      </c>
      <c r="D25" s="27">
        <v>50816</v>
      </c>
      <c r="E25" s="27">
        <v>13</v>
      </c>
      <c r="F25" s="27" t="s">
        <v>1667</v>
      </c>
      <c r="G25" s="27" t="s">
        <v>1668</v>
      </c>
      <c r="H25" s="27" t="s">
        <v>593</v>
      </c>
      <c r="I25" s="27" t="s">
        <v>593</v>
      </c>
      <c r="J25" s="27">
        <f t="shared" ref="J25:J28" si="82">D25</f>
        <v>50816</v>
      </c>
      <c r="K25" s="27" t="s">
        <v>34</v>
      </c>
      <c r="L25" s="27" t="s">
        <v>34</v>
      </c>
      <c r="M25" s="27" t="s">
        <v>34</v>
      </c>
      <c r="N25" s="27" t="str">
        <f t="shared" ref="N25:N28" si="83">H25</f>
        <v>Tdap - Pregnancy</v>
      </c>
      <c r="O25" s="27" t="s">
        <v>593</v>
      </c>
      <c r="P25" s="27">
        <f t="shared" ref="P25:P28" si="84">J25</f>
        <v>50816</v>
      </c>
      <c r="Q25" s="27">
        <v>68</v>
      </c>
      <c r="R25" s="27" t="s">
        <v>1669</v>
      </c>
      <c r="S25" s="27" t="s">
        <v>1670</v>
      </c>
      <c r="T25" s="27" t="str">
        <f t="shared" ref="T25:T28" si="85">N25</f>
        <v>Tdap - Pregnancy</v>
      </c>
      <c r="U25" s="27" t="s">
        <v>593</v>
      </c>
      <c r="V25" s="27">
        <f t="shared" ref="V25:V28" si="86">P25</f>
        <v>50816</v>
      </c>
      <c r="W25" s="27">
        <v>2531</v>
      </c>
      <c r="X25" s="27" t="s">
        <v>1671</v>
      </c>
      <c r="Y25" s="27" t="s">
        <v>1672</v>
      </c>
      <c r="Z25" s="27" t="str">
        <f t="shared" ref="Z25:Z28" si="87">T25</f>
        <v>Tdap - Pregnancy</v>
      </c>
      <c r="AA25" s="27" t="s">
        <v>593</v>
      </c>
      <c r="AB25" s="27">
        <f t="shared" ref="AB25:AB28" si="88">V25</f>
        <v>50816</v>
      </c>
      <c r="AC25" s="27" t="s">
        <v>1673</v>
      </c>
      <c r="AD25" s="27" t="s">
        <v>1674</v>
      </c>
      <c r="AE25" s="27" t="s">
        <v>1675</v>
      </c>
      <c r="AF25" s="27" t="s">
        <v>1676</v>
      </c>
      <c r="AG25" s="27" t="s">
        <v>593</v>
      </c>
      <c r="AH25" s="27">
        <f t="shared" ref="AH25:AH28" si="89">AB25</f>
        <v>50816</v>
      </c>
      <c r="AI25" s="27">
        <v>69</v>
      </c>
      <c r="AJ25" s="27" t="s">
        <v>1677</v>
      </c>
      <c r="AK25" s="27" t="s">
        <v>1678</v>
      </c>
      <c r="AL25" s="27" t="s">
        <v>593</v>
      </c>
      <c r="AM25" s="27" t="s">
        <v>593</v>
      </c>
      <c r="AN25" s="27">
        <f t="shared" ref="AN25:AN28" si="90">AH25</f>
        <v>50816</v>
      </c>
      <c r="AO25" s="27">
        <v>706</v>
      </c>
      <c r="AP25" s="27" t="s">
        <v>1679</v>
      </c>
      <c r="AQ25" s="27" t="s">
        <v>1680</v>
      </c>
      <c r="AR25" s="27" t="str">
        <f t="shared" ref="AR25:AR28" si="91">AL25</f>
        <v>Tdap - Pregnancy</v>
      </c>
      <c r="AS25" s="27" t="s">
        <v>593</v>
      </c>
      <c r="AT25" s="27">
        <f t="shared" ref="AT25:AT28" si="92">AN25</f>
        <v>50816</v>
      </c>
      <c r="AU25" s="27" t="s">
        <v>34</v>
      </c>
      <c r="AV25" s="27" t="s">
        <v>34</v>
      </c>
      <c r="AW25" s="27" t="s">
        <v>34</v>
      </c>
      <c r="AX25" s="27" t="str">
        <f t="shared" ref="AX25:AX28" si="93">AR25</f>
        <v>Tdap - Pregnancy</v>
      </c>
      <c r="AY25" s="27" t="s">
        <v>593</v>
      </c>
      <c r="AZ25" s="27">
        <f t="shared" ref="AZ25:AZ28" si="94">AT25</f>
        <v>50816</v>
      </c>
      <c r="BA25" s="27" t="s">
        <v>34</v>
      </c>
      <c r="BB25" s="27" t="s">
        <v>34</v>
      </c>
      <c r="BC25" s="27" t="s">
        <v>34</v>
      </c>
      <c r="BD25" s="27" t="str">
        <f t="shared" ref="BD25:BD28" si="95">AX25</f>
        <v>Tdap - Pregnancy</v>
      </c>
      <c r="BE25" s="27" t="s">
        <v>593</v>
      </c>
      <c r="BF25" s="27">
        <f t="shared" ref="BF25:BF28" si="96">AZ25</f>
        <v>50816</v>
      </c>
      <c r="BG25" s="27" t="s">
        <v>1681</v>
      </c>
      <c r="BH25" s="27" t="s">
        <v>1682</v>
      </c>
      <c r="BI25" s="27" t="s">
        <v>1683</v>
      </c>
      <c r="BJ25" s="27" t="str">
        <f t="shared" ref="BJ25:BJ28" si="97">BD25</f>
        <v>Tdap - Pregnancy</v>
      </c>
      <c r="BK25" s="27" t="s">
        <v>593</v>
      </c>
      <c r="BL25" s="27">
        <f t="shared" ref="BL25:BL28" si="98">BF25</f>
        <v>50816</v>
      </c>
      <c r="BM25" s="27">
        <v>126</v>
      </c>
      <c r="BN25" s="27" t="s">
        <v>1684</v>
      </c>
      <c r="BO25" s="27" t="s">
        <v>1685</v>
      </c>
      <c r="BP25" s="27" t="str">
        <f t="shared" si="50"/>
        <v>Tdap - Pregnancy</v>
      </c>
    </row>
    <row r="26" spans="1:68" ht="27" customHeight="1" x14ac:dyDescent="0.15">
      <c r="A26" s="27">
        <v>2045</v>
      </c>
      <c r="B26" s="36" t="s">
        <v>581</v>
      </c>
      <c r="C26" s="27" t="s">
        <v>603</v>
      </c>
      <c r="D26" s="27">
        <v>50886</v>
      </c>
      <c r="E26" s="27">
        <v>11</v>
      </c>
      <c r="F26" s="29"/>
      <c r="G26" s="29"/>
      <c r="H26" s="27" t="s">
        <v>1450</v>
      </c>
      <c r="I26" s="27" t="s">
        <v>603</v>
      </c>
      <c r="J26" s="27">
        <f t="shared" si="82"/>
        <v>50886</v>
      </c>
      <c r="K26" s="27" t="s">
        <v>34</v>
      </c>
      <c r="L26" s="27" t="s">
        <v>34</v>
      </c>
      <c r="M26" s="27" t="s">
        <v>34</v>
      </c>
      <c r="N26" s="27" t="str">
        <f t="shared" si="83"/>
        <v>No Tdap - Pregnancy</v>
      </c>
      <c r="O26" s="27" t="s">
        <v>603</v>
      </c>
      <c r="P26" s="27">
        <f t="shared" si="84"/>
        <v>50886</v>
      </c>
      <c r="Q26" s="27">
        <v>86</v>
      </c>
      <c r="R26" s="29"/>
      <c r="S26" s="29"/>
      <c r="T26" s="27" t="str">
        <f t="shared" si="85"/>
        <v>No Tdap - Pregnancy</v>
      </c>
      <c r="U26" s="27" t="s">
        <v>603</v>
      </c>
      <c r="V26" s="27">
        <f t="shared" si="86"/>
        <v>50886</v>
      </c>
      <c r="W26" s="27">
        <v>2690</v>
      </c>
      <c r="X26" s="29"/>
      <c r="Y26" s="29"/>
      <c r="Z26" s="27" t="str">
        <f t="shared" si="87"/>
        <v>No Tdap - Pregnancy</v>
      </c>
      <c r="AA26" s="27" t="s">
        <v>603</v>
      </c>
      <c r="AB26" s="27">
        <f t="shared" si="88"/>
        <v>50886</v>
      </c>
      <c r="AC26" s="27" t="s">
        <v>1686</v>
      </c>
      <c r="AD26" s="29"/>
      <c r="AE26" s="29"/>
      <c r="AF26" s="27" t="str">
        <f t="shared" ref="AF26:AF28" si="99">Z26</f>
        <v>No Tdap - Pregnancy</v>
      </c>
      <c r="AG26" s="27" t="s">
        <v>603</v>
      </c>
      <c r="AH26" s="27">
        <f t="shared" si="89"/>
        <v>50886</v>
      </c>
      <c r="AI26" s="27">
        <v>49</v>
      </c>
      <c r="AJ26" s="29"/>
      <c r="AK26" s="29"/>
      <c r="AL26" s="27" t="str">
        <f t="shared" ref="AL26:AL28" si="100">AF26</f>
        <v>No Tdap - Pregnancy</v>
      </c>
      <c r="AM26" s="27" t="s">
        <v>603</v>
      </c>
      <c r="AN26" s="27">
        <f t="shared" si="90"/>
        <v>50886</v>
      </c>
      <c r="AO26" s="27">
        <v>679</v>
      </c>
      <c r="AP26" s="29"/>
      <c r="AQ26" s="29"/>
      <c r="AR26" s="27" t="str">
        <f t="shared" si="91"/>
        <v>No Tdap - Pregnancy</v>
      </c>
      <c r="AS26" s="27" t="s">
        <v>603</v>
      </c>
      <c r="AT26" s="27">
        <f t="shared" si="92"/>
        <v>50886</v>
      </c>
      <c r="AU26" s="27" t="s">
        <v>34</v>
      </c>
      <c r="AV26" s="27" t="s">
        <v>34</v>
      </c>
      <c r="AW26" s="27" t="s">
        <v>34</v>
      </c>
      <c r="AX26" s="27" t="str">
        <f t="shared" si="93"/>
        <v>No Tdap - Pregnancy</v>
      </c>
      <c r="AY26" s="27" t="s">
        <v>603</v>
      </c>
      <c r="AZ26" s="27">
        <f t="shared" si="94"/>
        <v>50886</v>
      </c>
      <c r="BA26" s="27" t="s">
        <v>34</v>
      </c>
      <c r="BB26" s="27" t="s">
        <v>34</v>
      </c>
      <c r="BC26" s="27" t="s">
        <v>34</v>
      </c>
      <c r="BD26" s="27" t="str">
        <f t="shared" si="95"/>
        <v>No Tdap - Pregnancy</v>
      </c>
      <c r="BE26" s="27" t="s">
        <v>603</v>
      </c>
      <c r="BF26" s="27">
        <f t="shared" si="96"/>
        <v>50886</v>
      </c>
      <c r="BG26" s="27" t="s">
        <v>1687</v>
      </c>
      <c r="BH26" s="29"/>
      <c r="BI26" s="29"/>
      <c r="BJ26" s="27" t="str">
        <f t="shared" si="97"/>
        <v>No Tdap - Pregnancy</v>
      </c>
      <c r="BK26" s="27" t="s">
        <v>603</v>
      </c>
      <c r="BL26" s="27">
        <f t="shared" si="98"/>
        <v>50886</v>
      </c>
      <c r="BM26" s="27">
        <v>146</v>
      </c>
      <c r="BN26" s="29"/>
      <c r="BO26" s="29"/>
      <c r="BP26" s="27" t="str">
        <f t="shared" si="50"/>
        <v>No Tdap - Pregnancy</v>
      </c>
    </row>
    <row r="27" spans="1:68" ht="27" customHeight="1" x14ac:dyDescent="0.15">
      <c r="A27" s="27">
        <v>2045</v>
      </c>
      <c r="B27" s="36" t="s">
        <v>581</v>
      </c>
      <c r="C27" s="27" t="s">
        <v>609</v>
      </c>
      <c r="D27" s="27">
        <v>108350</v>
      </c>
      <c r="E27" s="27" t="s">
        <v>34</v>
      </c>
      <c r="F27" s="27" t="s">
        <v>34</v>
      </c>
      <c r="G27" s="27" t="s">
        <v>34</v>
      </c>
      <c r="H27" s="27" t="s">
        <v>609</v>
      </c>
      <c r="I27" s="27" t="s">
        <v>609</v>
      </c>
      <c r="J27" s="27">
        <f t="shared" si="82"/>
        <v>108350</v>
      </c>
      <c r="K27" s="27" t="s">
        <v>34</v>
      </c>
      <c r="L27" s="27" t="s">
        <v>34</v>
      </c>
      <c r="M27" s="27" t="s">
        <v>34</v>
      </c>
      <c r="N27" s="27" t="str">
        <f t="shared" si="83"/>
        <v>Tdap - prenatal</v>
      </c>
      <c r="O27" s="27" t="s">
        <v>609</v>
      </c>
      <c r="P27" s="27">
        <f t="shared" si="84"/>
        <v>108350</v>
      </c>
      <c r="Q27" s="27" t="s">
        <v>34</v>
      </c>
      <c r="R27" s="27" t="s">
        <v>34</v>
      </c>
      <c r="S27" s="27" t="s">
        <v>34</v>
      </c>
      <c r="T27" s="27" t="str">
        <f t="shared" si="85"/>
        <v>Tdap - prenatal</v>
      </c>
      <c r="U27" s="27" t="s">
        <v>609</v>
      </c>
      <c r="V27" s="27">
        <f t="shared" si="86"/>
        <v>108350</v>
      </c>
      <c r="W27" s="27" t="s">
        <v>34</v>
      </c>
      <c r="X27" s="27" t="s">
        <v>34</v>
      </c>
      <c r="Y27" s="27" t="s">
        <v>34</v>
      </c>
      <c r="Z27" s="27" t="str">
        <f t="shared" si="87"/>
        <v>Tdap - prenatal</v>
      </c>
      <c r="AA27" s="27" t="s">
        <v>609</v>
      </c>
      <c r="AB27" s="27">
        <f t="shared" si="88"/>
        <v>108350</v>
      </c>
      <c r="AC27" s="27" t="s">
        <v>34</v>
      </c>
      <c r="AD27" s="27" t="s">
        <v>34</v>
      </c>
      <c r="AE27" s="27" t="s">
        <v>34</v>
      </c>
      <c r="AF27" s="27" t="str">
        <f t="shared" si="99"/>
        <v>Tdap - prenatal</v>
      </c>
      <c r="AG27" s="27" t="s">
        <v>609</v>
      </c>
      <c r="AH27" s="27">
        <f t="shared" si="89"/>
        <v>108350</v>
      </c>
      <c r="AI27" s="27" t="s">
        <v>34</v>
      </c>
      <c r="AJ27" s="27" t="s">
        <v>34</v>
      </c>
      <c r="AK27" s="27" t="s">
        <v>34</v>
      </c>
      <c r="AL27" s="27" t="str">
        <f t="shared" si="100"/>
        <v>Tdap - prenatal</v>
      </c>
      <c r="AM27" s="27" t="s">
        <v>609</v>
      </c>
      <c r="AN27" s="27">
        <f t="shared" si="90"/>
        <v>108350</v>
      </c>
      <c r="AO27" s="27" t="s">
        <v>34</v>
      </c>
      <c r="AP27" s="27" t="s">
        <v>34</v>
      </c>
      <c r="AQ27" s="27" t="s">
        <v>34</v>
      </c>
      <c r="AR27" s="27" t="str">
        <f t="shared" si="91"/>
        <v>Tdap - prenatal</v>
      </c>
      <c r="AS27" s="27" t="s">
        <v>609</v>
      </c>
      <c r="AT27" s="27">
        <f t="shared" si="92"/>
        <v>108350</v>
      </c>
      <c r="AU27" s="27" t="s">
        <v>34</v>
      </c>
      <c r="AV27" s="27" t="s">
        <v>34</v>
      </c>
      <c r="AW27" s="27" t="s">
        <v>34</v>
      </c>
      <c r="AX27" s="27" t="str">
        <f t="shared" si="93"/>
        <v>Tdap - prenatal</v>
      </c>
      <c r="AY27" s="27" t="s">
        <v>609</v>
      </c>
      <c r="AZ27" s="27">
        <f t="shared" si="94"/>
        <v>108350</v>
      </c>
      <c r="BA27" s="27" t="s">
        <v>34</v>
      </c>
      <c r="BB27" s="27" t="s">
        <v>34</v>
      </c>
      <c r="BC27" s="27" t="s">
        <v>34</v>
      </c>
      <c r="BD27" s="27" t="str">
        <f t="shared" si="95"/>
        <v>Tdap - prenatal</v>
      </c>
      <c r="BE27" s="27" t="s">
        <v>609</v>
      </c>
      <c r="BF27" s="27">
        <f t="shared" si="96"/>
        <v>108350</v>
      </c>
      <c r="BG27" s="27" t="s">
        <v>34</v>
      </c>
      <c r="BH27" s="27" t="s">
        <v>34</v>
      </c>
      <c r="BI27" s="27" t="s">
        <v>34</v>
      </c>
      <c r="BJ27" s="27" t="str">
        <f t="shared" si="97"/>
        <v>Tdap - prenatal</v>
      </c>
      <c r="BK27" s="27" t="s">
        <v>609</v>
      </c>
      <c r="BL27" s="27">
        <f t="shared" si="98"/>
        <v>108350</v>
      </c>
      <c r="BM27" s="27" t="s">
        <v>34</v>
      </c>
      <c r="BN27" s="27" t="s">
        <v>34</v>
      </c>
      <c r="BO27" s="27" t="s">
        <v>34</v>
      </c>
      <c r="BP27" s="27" t="str">
        <f t="shared" si="50"/>
        <v>Tdap - prenatal</v>
      </c>
    </row>
    <row r="28" spans="1:68" ht="27" customHeight="1" x14ac:dyDescent="0.15">
      <c r="A28" s="27">
        <v>2045</v>
      </c>
      <c r="B28" s="36" t="s">
        <v>581</v>
      </c>
      <c r="C28" s="27" t="s">
        <v>612</v>
      </c>
      <c r="D28" s="27">
        <v>107624</v>
      </c>
      <c r="E28" s="27" t="s">
        <v>34</v>
      </c>
      <c r="F28" s="27" t="s">
        <v>34</v>
      </c>
      <c r="G28" s="27" t="s">
        <v>34</v>
      </c>
      <c r="H28" s="27" t="s">
        <v>1456</v>
      </c>
      <c r="I28" s="27" t="s">
        <v>612</v>
      </c>
      <c r="J28" s="27">
        <f t="shared" si="82"/>
        <v>107624</v>
      </c>
      <c r="K28" s="27" t="s">
        <v>34</v>
      </c>
      <c r="L28" s="27" t="s">
        <v>34</v>
      </c>
      <c r="M28" s="27" t="s">
        <v>34</v>
      </c>
      <c r="N28" s="27" t="str">
        <f t="shared" si="83"/>
        <v>No Tdap - prenatal</v>
      </c>
      <c r="O28" s="27" t="s">
        <v>612</v>
      </c>
      <c r="P28" s="27">
        <f t="shared" si="84"/>
        <v>107624</v>
      </c>
      <c r="Q28" s="27" t="s">
        <v>34</v>
      </c>
      <c r="R28" s="27" t="s">
        <v>34</v>
      </c>
      <c r="S28" s="27" t="s">
        <v>34</v>
      </c>
      <c r="T28" s="27" t="str">
        <f t="shared" si="85"/>
        <v>No Tdap - prenatal</v>
      </c>
      <c r="U28" s="27" t="s">
        <v>612</v>
      </c>
      <c r="V28" s="27">
        <f t="shared" si="86"/>
        <v>107624</v>
      </c>
      <c r="W28" s="27" t="s">
        <v>34</v>
      </c>
      <c r="X28" s="27" t="s">
        <v>34</v>
      </c>
      <c r="Y28" s="27" t="s">
        <v>34</v>
      </c>
      <c r="Z28" s="27" t="str">
        <f t="shared" si="87"/>
        <v>No Tdap - prenatal</v>
      </c>
      <c r="AA28" s="27" t="s">
        <v>612</v>
      </c>
      <c r="AB28" s="27">
        <f t="shared" si="88"/>
        <v>107624</v>
      </c>
      <c r="AC28" s="27" t="s">
        <v>34</v>
      </c>
      <c r="AD28" s="27" t="s">
        <v>34</v>
      </c>
      <c r="AE28" s="27" t="s">
        <v>34</v>
      </c>
      <c r="AF28" s="27" t="str">
        <f t="shared" si="99"/>
        <v>No Tdap - prenatal</v>
      </c>
      <c r="AG28" s="27" t="s">
        <v>612</v>
      </c>
      <c r="AH28" s="27">
        <f t="shared" si="89"/>
        <v>107624</v>
      </c>
      <c r="AI28" s="27" t="s">
        <v>34</v>
      </c>
      <c r="AJ28" s="27" t="s">
        <v>34</v>
      </c>
      <c r="AK28" s="27" t="s">
        <v>34</v>
      </c>
      <c r="AL28" s="27" t="str">
        <f t="shared" si="100"/>
        <v>No Tdap - prenatal</v>
      </c>
      <c r="AM28" s="27" t="s">
        <v>612</v>
      </c>
      <c r="AN28" s="27">
        <f t="shared" si="90"/>
        <v>107624</v>
      </c>
      <c r="AO28" s="27" t="s">
        <v>34</v>
      </c>
      <c r="AP28" s="27" t="s">
        <v>34</v>
      </c>
      <c r="AQ28" s="27" t="s">
        <v>34</v>
      </c>
      <c r="AR28" s="27" t="str">
        <f t="shared" si="91"/>
        <v>No Tdap - prenatal</v>
      </c>
      <c r="AS28" s="27" t="s">
        <v>612</v>
      </c>
      <c r="AT28" s="27">
        <f t="shared" si="92"/>
        <v>107624</v>
      </c>
      <c r="AU28" s="27" t="s">
        <v>34</v>
      </c>
      <c r="AV28" s="27" t="s">
        <v>34</v>
      </c>
      <c r="AW28" s="27" t="s">
        <v>34</v>
      </c>
      <c r="AX28" s="27" t="str">
        <f t="shared" si="93"/>
        <v>No Tdap - prenatal</v>
      </c>
      <c r="AY28" s="27" t="s">
        <v>612</v>
      </c>
      <c r="AZ28" s="27">
        <f t="shared" si="94"/>
        <v>107624</v>
      </c>
      <c r="BA28" s="27" t="s">
        <v>34</v>
      </c>
      <c r="BB28" s="27" t="s">
        <v>34</v>
      </c>
      <c r="BC28" s="27" t="s">
        <v>34</v>
      </c>
      <c r="BD28" s="27" t="str">
        <f t="shared" si="95"/>
        <v>No Tdap - prenatal</v>
      </c>
      <c r="BE28" s="27" t="s">
        <v>612</v>
      </c>
      <c r="BF28" s="27">
        <f t="shared" si="96"/>
        <v>107624</v>
      </c>
      <c r="BG28" s="27" t="s">
        <v>34</v>
      </c>
      <c r="BH28" s="27" t="s">
        <v>34</v>
      </c>
      <c r="BI28" s="27" t="s">
        <v>34</v>
      </c>
      <c r="BJ28" s="27" t="str">
        <f t="shared" si="97"/>
        <v>No Tdap - prenatal</v>
      </c>
      <c r="BK28" s="27" t="s">
        <v>612</v>
      </c>
      <c r="BL28" s="27">
        <f t="shared" si="98"/>
        <v>107624</v>
      </c>
      <c r="BM28" s="27" t="s">
        <v>34</v>
      </c>
      <c r="BN28" s="27" t="s">
        <v>34</v>
      </c>
      <c r="BO28" s="27" t="s">
        <v>34</v>
      </c>
      <c r="BP28" s="27" t="str">
        <f t="shared" si="50"/>
        <v>No Tdap - prenatal</v>
      </c>
    </row>
    <row r="29" spans="1:68" ht="15.75" customHeight="1" x14ac:dyDescent="0.15">
      <c r="A29" s="27">
        <v>4167</v>
      </c>
      <c r="B29" s="27" t="s">
        <v>562</v>
      </c>
      <c r="C29" s="27" t="s">
        <v>33</v>
      </c>
      <c r="D29" s="27">
        <v>90</v>
      </c>
      <c r="E29" s="27" t="s">
        <v>34</v>
      </c>
      <c r="F29" s="27" t="s">
        <v>34</v>
      </c>
      <c r="G29" s="27" t="s">
        <v>34</v>
      </c>
      <c r="H29" s="29"/>
      <c r="I29" s="27" t="s">
        <v>33</v>
      </c>
      <c r="J29" s="27">
        <v>90</v>
      </c>
      <c r="K29" s="27" t="s">
        <v>34</v>
      </c>
      <c r="L29" s="27" t="s">
        <v>34</v>
      </c>
      <c r="M29" s="27" t="s">
        <v>34</v>
      </c>
      <c r="N29" s="29"/>
      <c r="O29" s="27" t="s">
        <v>33</v>
      </c>
      <c r="P29" s="27">
        <v>90</v>
      </c>
      <c r="Q29" s="27" t="s">
        <v>34</v>
      </c>
      <c r="R29" s="27" t="s">
        <v>34</v>
      </c>
      <c r="S29" s="27" t="s">
        <v>34</v>
      </c>
      <c r="T29" s="29"/>
      <c r="U29" s="27" t="s">
        <v>33</v>
      </c>
      <c r="V29" s="27">
        <v>90</v>
      </c>
      <c r="W29" s="27" t="s">
        <v>34</v>
      </c>
      <c r="X29" s="27" t="s">
        <v>34</v>
      </c>
      <c r="Y29" s="27" t="s">
        <v>34</v>
      </c>
      <c r="Z29" s="29"/>
      <c r="AA29" s="27" t="s">
        <v>33</v>
      </c>
      <c r="AB29" s="27">
        <v>90</v>
      </c>
      <c r="AC29" s="27" t="s">
        <v>34</v>
      </c>
      <c r="AD29" s="27" t="s">
        <v>34</v>
      </c>
      <c r="AE29" s="27" t="s">
        <v>34</v>
      </c>
      <c r="AF29" s="29"/>
      <c r="AG29" s="27" t="s">
        <v>33</v>
      </c>
      <c r="AH29" s="27">
        <v>90</v>
      </c>
      <c r="AI29" s="27" t="s">
        <v>34</v>
      </c>
      <c r="AJ29" s="27" t="s">
        <v>34</v>
      </c>
      <c r="AK29" s="27" t="s">
        <v>34</v>
      </c>
      <c r="AL29" s="29"/>
      <c r="AM29" s="27" t="s">
        <v>33</v>
      </c>
      <c r="AN29" s="27">
        <v>90</v>
      </c>
      <c r="AO29" s="27" t="s">
        <v>34</v>
      </c>
      <c r="AP29" s="27" t="s">
        <v>34</v>
      </c>
      <c r="AQ29" s="27" t="s">
        <v>34</v>
      </c>
      <c r="AR29" s="29"/>
      <c r="AS29" s="27" t="s">
        <v>33</v>
      </c>
      <c r="AT29" s="27">
        <v>90</v>
      </c>
      <c r="AU29" s="27" t="s">
        <v>34</v>
      </c>
      <c r="AV29" s="27" t="s">
        <v>34</v>
      </c>
      <c r="AW29" s="27" t="s">
        <v>34</v>
      </c>
      <c r="AX29" s="29"/>
      <c r="AY29" s="27" t="s">
        <v>33</v>
      </c>
      <c r="AZ29" s="27">
        <v>90</v>
      </c>
      <c r="BA29" s="27" t="s">
        <v>34</v>
      </c>
      <c r="BB29" s="27" t="s">
        <v>34</v>
      </c>
      <c r="BC29" s="27" t="s">
        <v>34</v>
      </c>
      <c r="BD29" s="29"/>
      <c r="BE29" s="27" t="s">
        <v>33</v>
      </c>
      <c r="BF29" s="27">
        <v>90</v>
      </c>
      <c r="BG29" s="27" t="s">
        <v>34</v>
      </c>
      <c r="BH29" s="27" t="s">
        <v>34</v>
      </c>
      <c r="BI29" s="27" t="s">
        <v>34</v>
      </c>
      <c r="BJ29" s="29"/>
      <c r="BK29" s="27" t="s">
        <v>33</v>
      </c>
      <c r="BL29" s="27">
        <v>90</v>
      </c>
      <c r="BM29" s="27" t="s">
        <v>1688</v>
      </c>
      <c r="BN29" s="27" t="s">
        <v>34</v>
      </c>
      <c r="BO29" s="27" t="s">
        <v>1689</v>
      </c>
      <c r="BP29" s="27" t="s">
        <v>1690</v>
      </c>
    </row>
    <row r="30" spans="1:68" ht="15.75" customHeight="1" x14ac:dyDescent="0.15">
      <c r="A30" s="27">
        <v>4167</v>
      </c>
      <c r="B30" s="27" t="s">
        <v>562</v>
      </c>
      <c r="C30" s="27" t="s">
        <v>46</v>
      </c>
      <c r="D30" s="27">
        <v>81</v>
      </c>
      <c r="E30" s="27" t="s">
        <v>34</v>
      </c>
      <c r="F30" s="27" t="s">
        <v>34</v>
      </c>
      <c r="G30" s="27" t="s">
        <v>34</v>
      </c>
      <c r="H30" s="29"/>
      <c r="I30" s="27" t="s">
        <v>46</v>
      </c>
      <c r="J30" s="27">
        <v>81</v>
      </c>
      <c r="K30" s="27" t="s">
        <v>34</v>
      </c>
      <c r="L30" s="27" t="s">
        <v>34</v>
      </c>
      <c r="M30" s="27" t="s">
        <v>34</v>
      </c>
      <c r="N30" s="29"/>
      <c r="O30" s="27" t="s">
        <v>46</v>
      </c>
      <c r="P30" s="27">
        <v>81</v>
      </c>
      <c r="Q30" s="27" t="s">
        <v>34</v>
      </c>
      <c r="R30" s="27" t="s">
        <v>34</v>
      </c>
      <c r="S30" s="27" t="s">
        <v>34</v>
      </c>
      <c r="T30" s="29"/>
      <c r="U30" s="27" t="s">
        <v>46</v>
      </c>
      <c r="V30" s="27">
        <v>81</v>
      </c>
      <c r="W30" s="27" t="s">
        <v>34</v>
      </c>
      <c r="X30" s="27" t="s">
        <v>34</v>
      </c>
      <c r="Y30" s="27" t="s">
        <v>34</v>
      </c>
      <c r="Z30" s="29"/>
      <c r="AA30" s="27" t="s">
        <v>46</v>
      </c>
      <c r="AB30" s="27">
        <v>81</v>
      </c>
      <c r="AC30" s="27" t="s">
        <v>34</v>
      </c>
      <c r="AD30" s="27" t="s">
        <v>34</v>
      </c>
      <c r="AE30" s="27" t="s">
        <v>34</v>
      </c>
      <c r="AF30" s="29"/>
      <c r="AG30" s="27" t="s">
        <v>46</v>
      </c>
      <c r="AH30" s="27">
        <v>81</v>
      </c>
      <c r="AI30" s="27" t="s">
        <v>34</v>
      </c>
      <c r="AJ30" s="27" t="s">
        <v>34</v>
      </c>
      <c r="AK30" s="27" t="s">
        <v>34</v>
      </c>
      <c r="AL30" s="29"/>
      <c r="AM30" s="27" t="s">
        <v>46</v>
      </c>
      <c r="AN30" s="27">
        <v>81</v>
      </c>
      <c r="AO30" s="27" t="s">
        <v>34</v>
      </c>
      <c r="AP30" s="27" t="s">
        <v>34</v>
      </c>
      <c r="AQ30" s="27" t="s">
        <v>34</v>
      </c>
      <c r="AR30" s="29"/>
      <c r="AS30" s="27" t="s">
        <v>46</v>
      </c>
      <c r="AT30" s="27">
        <v>81</v>
      </c>
      <c r="AU30" s="27" t="s">
        <v>34</v>
      </c>
      <c r="AV30" s="27" t="s">
        <v>34</v>
      </c>
      <c r="AW30" s="27" t="s">
        <v>34</v>
      </c>
      <c r="AX30" s="29"/>
      <c r="AY30" s="27" t="s">
        <v>46</v>
      </c>
      <c r="AZ30" s="27">
        <v>81</v>
      </c>
      <c r="BA30" s="27" t="s">
        <v>34</v>
      </c>
      <c r="BB30" s="27" t="s">
        <v>34</v>
      </c>
      <c r="BC30" s="27" t="s">
        <v>34</v>
      </c>
      <c r="BD30" s="29"/>
      <c r="BE30" s="27" t="s">
        <v>46</v>
      </c>
      <c r="BF30" s="27">
        <v>81</v>
      </c>
      <c r="BG30" s="27" t="s">
        <v>34</v>
      </c>
      <c r="BH30" s="27" t="s">
        <v>34</v>
      </c>
      <c r="BI30" s="27" t="s">
        <v>34</v>
      </c>
      <c r="BJ30" s="29"/>
      <c r="BK30" s="27" t="s">
        <v>46</v>
      </c>
      <c r="BL30" s="27">
        <v>81</v>
      </c>
      <c r="BM30" s="27" t="s">
        <v>1691</v>
      </c>
      <c r="BN30" s="27" t="s">
        <v>34</v>
      </c>
      <c r="BO30" s="29"/>
      <c r="BP30" s="29"/>
    </row>
    <row r="31" spans="1:68" ht="107.25" customHeight="1" x14ac:dyDescent="0.15">
      <c r="A31" s="27">
        <v>3201</v>
      </c>
      <c r="B31" s="27" t="s">
        <v>614</v>
      </c>
      <c r="C31" s="27" t="s">
        <v>33</v>
      </c>
      <c r="D31" s="27">
        <v>341</v>
      </c>
      <c r="E31" s="27">
        <v>4</v>
      </c>
      <c r="F31" s="27" t="s">
        <v>1692</v>
      </c>
      <c r="G31" s="27" t="s">
        <v>1693</v>
      </c>
      <c r="H31" s="27" t="s">
        <v>1694</v>
      </c>
      <c r="I31" s="27" t="s">
        <v>33</v>
      </c>
      <c r="J31" s="27">
        <v>341</v>
      </c>
      <c r="K31" s="27" t="s">
        <v>34</v>
      </c>
      <c r="L31" s="27" t="s">
        <v>34</v>
      </c>
      <c r="M31" s="27" t="s">
        <v>34</v>
      </c>
      <c r="N31" s="29"/>
      <c r="O31" s="27" t="s">
        <v>33</v>
      </c>
      <c r="P31" s="27">
        <v>341</v>
      </c>
      <c r="Q31" s="27">
        <v>0</v>
      </c>
      <c r="R31" s="27" t="s">
        <v>34</v>
      </c>
      <c r="S31" s="27" t="s">
        <v>34</v>
      </c>
      <c r="T31" s="27" t="s">
        <v>1695</v>
      </c>
      <c r="U31" s="27" t="s">
        <v>33</v>
      </c>
      <c r="V31" s="27">
        <v>341</v>
      </c>
      <c r="W31" s="27">
        <v>11</v>
      </c>
      <c r="X31" s="27" t="s">
        <v>1696</v>
      </c>
      <c r="Y31" s="27" t="s">
        <v>34</v>
      </c>
      <c r="Z31" s="29"/>
      <c r="AA31" s="27" t="s">
        <v>33</v>
      </c>
      <c r="AB31" s="27">
        <v>341</v>
      </c>
      <c r="AC31" s="29" t="s">
        <v>1697</v>
      </c>
      <c r="AD31" s="27" t="s">
        <v>1698</v>
      </c>
      <c r="AE31" s="27" t="s">
        <v>34</v>
      </c>
      <c r="AF31" s="27" t="s">
        <v>1699</v>
      </c>
      <c r="AG31" s="27" t="s">
        <v>33</v>
      </c>
      <c r="AH31" s="27">
        <v>341</v>
      </c>
      <c r="AI31" s="27">
        <v>0</v>
      </c>
      <c r="AJ31" s="27" t="s">
        <v>34</v>
      </c>
      <c r="AK31" s="27" t="s">
        <v>34</v>
      </c>
      <c r="AL31" s="29"/>
      <c r="AM31" s="27" t="s">
        <v>33</v>
      </c>
      <c r="AN31" s="27">
        <v>341</v>
      </c>
      <c r="AO31" s="27" t="s">
        <v>34</v>
      </c>
      <c r="AP31" s="27" t="s">
        <v>34</v>
      </c>
      <c r="AQ31" s="27" t="s">
        <v>34</v>
      </c>
      <c r="AR31" s="29"/>
      <c r="AS31" s="27" t="s">
        <v>33</v>
      </c>
      <c r="AT31" s="27">
        <v>341</v>
      </c>
      <c r="AU31" s="27">
        <v>0</v>
      </c>
      <c r="AV31" s="27" t="s">
        <v>34</v>
      </c>
      <c r="AW31" s="27" t="s">
        <v>34</v>
      </c>
      <c r="AX31" s="27" t="s">
        <v>1700</v>
      </c>
      <c r="AY31" s="27" t="s">
        <v>33</v>
      </c>
      <c r="AZ31" s="27">
        <v>341</v>
      </c>
      <c r="BA31" s="27">
        <v>4</v>
      </c>
      <c r="BB31" s="27" t="s">
        <v>34</v>
      </c>
      <c r="BC31" s="27" t="s">
        <v>1701</v>
      </c>
      <c r="BD31" s="27" t="s">
        <v>1702</v>
      </c>
      <c r="BE31" s="27" t="s">
        <v>33</v>
      </c>
      <c r="BF31" s="27">
        <v>341</v>
      </c>
      <c r="BG31" s="27" t="s">
        <v>1703</v>
      </c>
      <c r="BH31" s="27" t="s">
        <v>34</v>
      </c>
      <c r="BI31" s="27" t="s">
        <v>34</v>
      </c>
      <c r="BJ31" s="27" t="s">
        <v>1704</v>
      </c>
      <c r="BK31" s="27" t="s">
        <v>33</v>
      </c>
      <c r="BL31" s="27">
        <v>341</v>
      </c>
      <c r="BM31" s="27" t="s">
        <v>1705</v>
      </c>
      <c r="BN31" s="27" t="s">
        <v>34</v>
      </c>
      <c r="BO31" s="27" t="s">
        <v>1706</v>
      </c>
      <c r="BP31" s="27" t="s">
        <v>1707</v>
      </c>
    </row>
    <row r="32" spans="1:68" ht="15.75" customHeight="1" x14ac:dyDescent="0.15">
      <c r="A32" s="27">
        <v>3201</v>
      </c>
      <c r="B32" s="27" t="s">
        <v>614</v>
      </c>
      <c r="C32" s="27" t="s">
        <v>46</v>
      </c>
      <c r="D32" s="27">
        <v>346</v>
      </c>
      <c r="E32" s="27">
        <v>3</v>
      </c>
      <c r="F32" s="27" t="s">
        <v>1708</v>
      </c>
      <c r="G32" s="29"/>
      <c r="H32" s="29"/>
      <c r="I32" s="27" t="s">
        <v>46</v>
      </c>
      <c r="J32" s="27">
        <v>346</v>
      </c>
      <c r="K32" s="27" t="s">
        <v>34</v>
      </c>
      <c r="L32" s="27" t="s">
        <v>34</v>
      </c>
      <c r="M32" s="27" t="s">
        <v>34</v>
      </c>
      <c r="N32" s="29"/>
      <c r="O32" s="27" t="s">
        <v>46</v>
      </c>
      <c r="P32" s="27">
        <v>346</v>
      </c>
      <c r="Q32" s="27">
        <v>0</v>
      </c>
      <c r="R32" s="27" t="s">
        <v>34</v>
      </c>
      <c r="S32" s="27" t="s">
        <v>34</v>
      </c>
      <c r="T32" s="29"/>
      <c r="U32" s="27" t="s">
        <v>46</v>
      </c>
      <c r="V32" s="27">
        <v>346</v>
      </c>
      <c r="W32" s="27">
        <v>9</v>
      </c>
      <c r="X32" s="27" t="s">
        <v>1709</v>
      </c>
      <c r="Y32" s="27" t="s">
        <v>34</v>
      </c>
      <c r="Z32" s="29"/>
      <c r="AA32" s="27" t="s">
        <v>46</v>
      </c>
      <c r="AB32" s="27">
        <v>346</v>
      </c>
      <c r="AC32" s="29" t="s">
        <v>1710</v>
      </c>
      <c r="AD32" s="27" t="s">
        <v>1711</v>
      </c>
      <c r="AE32" s="27" t="s">
        <v>34</v>
      </c>
      <c r="AF32" s="29"/>
      <c r="AG32" s="27" t="s">
        <v>46</v>
      </c>
      <c r="AH32" s="27">
        <v>346</v>
      </c>
      <c r="AI32" s="27">
        <v>2</v>
      </c>
      <c r="AJ32" s="27" t="s">
        <v>34</v>
      </c>
      <c r="AK32" s="27" t="s">
        <v>34</v>
      </c>
      <c r="AL32" s="29"/>
      <c r="AM32" s="27" t="s">
        <v>46</v>
      </c>
      <c r="AN32" s="27">
        <v>346</v>
      </c>
      <c r="AO32" s="27" t="s">
        <v>34</v>
      </c>
      <c r="AP32" s="27" t="s">
        <v>34</v>
      </c>
      <c r="AQ32" s="27" t="s">
        <v>34</v>
      </c>
      <c r="AR32" s="29"/>
      <c r="AS32" s="27" t="s">
        <v>46</v>
      </c>
      <c r="AT32" s="27">
        <v>346</v>
      </c>
      <c r="AU32" s="27">
        <v>0</v>
      </c>
      <c r="AV32" s="27" t="s">
        <v>34</v>
      </c>
      <c r="AW32" s="27" t="s">
        <v>34</v>
      </c>
      <c r="AX32" s="29"/>
      <c r="AY32" s="27" t="s">
        <v>46</v>
      </c>
      <c r="AZ32" s="27">
        <v>346</v>
      </c>
      <c r="BA32" s="27">
        <v>46</v>
      </c>
      <c r="BB32" s="27" t="s">
        <v>34</v>
      </c>
      <c r="BC32" s="29"/>
      <c r="BD32" s="29"/>
      <c r="BE32" s="27" t="s">
        <v>46</v>
      </c>
      <c r="BF32" s="27">
        <v>346</v>
      </c>
      <c r="BG32" s="27" t="s">
        <v>1712</v>
      </c>
      <c r="BH32" s="27" t="s">
        <v>34</v>
      </c>
      <c r="BI32" s="27" t="s">
        <v>34</v>
      </c>
      <c r="BJ32" s="29"/>
      <c r="BK32" s="27" t="s">
        <v>46</v>
      </c>
      <c r="BL32" s="27">
        <v>346</v>
      </c>
      <c r="BM32" s="27" t="s">
        <v>1713</v>
      </c>
      <c r="BN32" s="27" t="s">
        <v>34</v>
      </c>
      <c r="BO32" s="29"/>
      <c r="BP32" s="29"/>
    </row>
    <row r="33" spans="1:68" ht="15.75" customHeight="1" x14ac:dyDescent="0.15">
      <c r="A33" s="35">
        <v>3561</v>
      </c>
      <c r="B33" s="27" t="s">
        <v>675</v>
      </c>
      <c r="C33" s="29" t="s">
        <v>33</v>
      </c>
      <c r="D33" s="29"/>
      <c r="E33" s="29" t="s">
        <v>34</v>
      </c>
      <c r="F33" s="29" t="s">
        <v>34</v>
      </c>
      <c r="G33" s="29" t="s">
        <v>34</v>
      </c>
      <c r="H33" s="29"/>
      <c r="I33" s="29" t="s">
        <v>33</v>
      </c>
      <c r="J33" s="27">
        <v>1119</v>
      </c>
      <c r="K33" s="29" t="s">
        <v>34</v>
      </c>
      <c r="L33" s="29" t="s">
        <v>34</v>
      </c>
      <c r="M33" s="29" t="s">
        <v>34</v>
      </c>
      <c r="N33" s="29"/>
      <c r="O33" s="27" t="s">
        <v>33</v>
      </c>
      <c r="P33" s="27">
        <v>1119</v>
      </c>
      <c r="Q33" s="27">
        <v>1</v>
      </c>
      <c r="R33" s="27" t="s">
        <v>1714</v>
      </c>
      <c r="S33" s="29"/>
      <c r="T33" s="29"/>
      <c r="U33" s="27" t="s">
        <v>33</v>
      </c>
      <c r="V33" s="27">
        <v>1119</v>
      </c>
      <c r="W33" s="27">
        <v>64</v>
      </c>
      <c r="X33" s="27" t="s">
        <v>1715</v>
      </c>
      <c r="Y33" s="27" t="s">
        <v>1716</v>
      </c>
      <c r="Z33" s="29" t="s">
        <v>1717</v>
      </c>
      <c r="AA33" s="27" t="s">
        <v>33</v>
      </c>
      <c r="AB33" s="27">
        <v>10</v>
      </c>
      <c r="AC33" s="27">
        <v>1119</v>
      </c>
      <c r="AD33" s="27" t="s">
        <v>34</v>
      </c>
      <c r="AE33" s="27" t="s">
        <v>1718</v>
      </c>
      <c r="AF33" s="27"/>
      <c r="AG33" s="29" t="s">
        <v>33</v>
      </c>
      <c r="AH33" s="29" t="s">
        <v>34</v>
      </c>
      <c r="AI33" s="29" t="s">
        <v>34</v>
      </c>
      <c r="AJ33" s="29" t="s">
        <v>34</v>
      </c>
      <c r="AK33" s="29" t="s">
        <v>34</v>
      </c>
      <c r="AL33" s="29"/>
      <c r="AM33" s="27" t="s">
        <v>33</v>
      </c>
      <c r="AN33" s="27">
        <v>1199</v>
      </c>
      <c r="AO33" s="27" t="s">
        <v>34</v>
      </c>
      <c r="AP33" s="27"/>
      <c r="AQ33" s="29"/>
      <c r="AR33" s="29"/>
      <c r="AS33" s="27" t="s">
        <v>33</v>
      </c>
      <c r="AT33" s="27">
        <v>1119</v>
      </c>
      <c r="AU33" s="27">
        <v>10</v>
      </c>
      <c r="AV33" s="27" t="s">
        <v>1719</v>
      </c>
      <c r="AW33" s="29"/>
      <c r="AX33" s="29"/>
      <c r="AY33" s="27" t="s">
        <v>33</v>
      </c>
      <c r="AZ33" s="27">
        <v>1119</v>
      </c>
      <c r="BA33" s="27">
        <v>0</v>
      </c>
      <c r="BB33" s="27" t="s">
        <v>34</v>
      </c>
      <c r="BC33" s="27" t="s">
        <v>1720</v>
      </c>
      <c r="BD33" s="29"/>
      <c r="BE33" s="29" t="s">
        <v>33</v>
      </c>
      <c r="BF33" s="29"/>
      <c r="BG33" s="29" t="s">
        <v>34</v>
      </c>
      <c r="BH33" s="29" t="s">
        <v>34</v>
      </c>
      <c r="BI33" s="29" t="s">
        <v>34</v>
      </c>
      <c r="BJ33" s="29"/>
      <c r="BK33" s="27" t="s">
        <v>33</v>
      </c>
      <c r="BL33" s="27">
        <v>1119</v>
      </c>
      <c r="BM33" s="27">
        <v>0</v>
      </c>
      <c r="BN33" s="29" t="s">
        <v>34</v>
      </c>
      <c r="BO33" s="27" t="s">
        <v>34</v>
      </c>
      <c r="BP33" s="27" t="s">
        <v>1721</v>
      </c>
    </row>
    <row r="34" spans="1:68" ht="15.75" customHeight="1" x14ac:dyDescent="0.15">
      <c r="A34" s="35">
        <v>3561</v>
      </c>
      <c r="B34" s="27" t="s">
        <v>675</v>
      </c>
      <c r="C34" s="29" t="s">
        <v>46</v>
      </c>
      <c r="D34" s="29"/>
      <c r="E34" s="29" t="s">
        <v>34</v>
      </c>
      <c r="F34" s="29" t="s">
        <v>34</v>
      </c>
      <c r="G34" s="29" t="s">
        <v>34</v>
      </c>
      <c r="H34" s="29"/>
      <c r="I34" s="29" t="s">
        <v>46</v>
      </c>
      <c r="J34" s="27">
        <v>1248</v>
      </c>
      <c r="K34" s="29" t="s">
        <v>34</v>
      </c>
      <c r="L34" s="29" t="s">
        <v>34</v>
      </c>
      <c r="M34" s="29" t="s">
        <v>34</v>
      </c>
      <c r="N34" s="29"/>
      <c r="O34" s="27" t="s">
        <v>46</v>
      </c>
      <c r="P34" s="27">
        <v>1248</v>
      </c>
      <c r="Q34" s="27">
        <v>6</v>
      </c>
      <c r="R34" s="27" t="s">
        <v>1722</v>
      </c>
      <c r="S34" s="29"/>
      <c r="T34" s="29"/>
      <c r="U34" s="27" t="s">
        <v>46</v>
      </c>
      <c r="V34" s="27">
        <v>1248</v>
      </c>
      <c r="W34" s="27">
        <v>121</v>
      </c>
      <c r="X34" s="27" t="s">
        <v>1723</v>
      </c>
      <c r="Y34" s="29"/>
      <c r="Z34" s="29"/>
      <c r="AA34" s="27" t="s">
        <v>46</v>
      </c>
      <c r="AB34" s="27">
        <v>30</v>
      </c>
      <c r="AC34" s="27">
        <v>1248</v>
      </c>
      <c r="AD34" s="27" t="s">
        <v>34</v>
      </c>
      <c r="AE34" s="29"/>
      <c r="AF34" s="27"/>
      <c r="AG34" s="29" t="s">
        <v>46</v>
      </c>
      <c r="AH34" s="29" t="s">
        <v>34</v>
      </c>
      <c r="AI34" s="29" t="s">
        <v>34</v>
      </c>
      <c r="AJ34" s="29" t="s">
        <v>34</v>
      </c>
      <c r="AK34" s="29" t="s">
        <v>34</v>
      </c>
      <c r="AL34" s="29"/>
      <c r="AM34" s="27" t="s">
        <v>46</v>
      </c>
      <c r="AN34" s="27">
        <v>1248</v>
      </c>
      <c r="AO34" s="27" t="s">
        <v>34</v>
      </c>
      <c r="AP34" s="27" t="s">
        <v>34</v>
      </c>
      <c r="AQ34" s="27" t="s">
        <v>34</v>
      </c>
      <c r="AR34" s="29"/>
      <c r="AS34" s="27" t="s">
        <v>46</v>
      </c>
      <c r="AT34" s="27">
        <v>1248</v>
      </c>
      <c r="AU34" s="27">
        <v>22</v>
      </c>
      <c r="AV34" s="27" t="s">
        <v>1724</v>
      </c>
      <c r="AW34" s="29"/>
      <c r="AX34" s="29"/>
      <c r="AY34" s="27" t="s">
        <v>46</v>
      </c>
      <c r="AZ34" s="27">
        <v>1248</v>
      </c>
      <c r="BA34" s="27">
        <v>0</v>
      </c>
      <c r="BB34" s="27" t="s">
        <v>34</v>
      </c>
      <c r="BC34" s="29"/>
      <c r="BD34" s="29"/>
      <c r="BE34" s="29" t="s">
        <v>46</v>
      </c>
      <c r="BF34" s="29"/>
      <c r="BG34" s="29" t="s">
        <v>34</v>
      </c>
      <c r="BH34" s="29" t="s">
        <v>34</v>
      </c>
      <c r="BI34" s="29" t="s">
        <v>34</v>
      </c>
      <c r="BJ34" s="29"/>
      <c r="BK34" s="27" t="s">
        <v>46</v>
      </c>
      <c r="BL34" s="27">
        <v>1248</v>
      </c>
      <c r="BM34" s="27">
        <v>0</v>
      </c>
      <c r="BN34" s="29" t="s">
        <v>34</v>
      </c>
      <c r="BO34" s="29" t="s">
        <v>34</v>
      </c>
      <c r="BP34" s="29"/>
    </row>
    <row r="35" spans="1:68" ht="15.75" customHeight="1" x14ac:dyDescent="0.15">
      <c r="A35" s="35">
        <v>3561</v>
      </c>
      <c r="B35" s="27" t="s">
        <v>675</v>
      </c>
      <c r="C35" s="27" t="s">
        <v>33</v>
      </c>
      <c r="D35" s="29"/>
      <c r="E35" s="29" t="s">
        <v>34</v>
      </c>
      <c r="F35" s="29" t="s">
        <v>34</v>
      </c>
      <c r="G35" s="29" t="s">
        <v>34</v>
      </c>
      <c r="H35" s="29"/>
      <c r="I35" s="27" t="s">
        <v>33</v>
      </c>
      <c r="J35" s="29" t="s">
        <v>34</v>
      </c>
      <c r="K35" s="29" t="s">
        <v>34</v>
      </c>
      <c r="L35" s="29" t="s">
        <v>34</v>
      </c>
      <c r="M35" s="29" t="s">
        <v>34</v>
      </c>
      <c r="N35" s="29"/>
      <c r="O35" s="27" t="s">
        <v>33</v>
      </c>
      <c r="P35" s="29" t="s">
        <v>34</v>
      </c>
      <c r="Q35" s="29" t="s">
        <v>34</v>
      </c>
      <c r="R35" s="29" t="s">
        <v>34</v>
      </c>
      <c r="S35" s="29" t="s">
        <v>34</v>
      </c>
      <c r="T35" s="29"/>
      <c r="U35" s="27" t="s">
        <v>33</v>
      </c>
      <c r="V35" s="29" t="s">
        <v>34</v>
      </c>
      <c r="W35" s="29" t="s">
        <v>34</v>
      </c>
      <c r="X35" s="29" t="s">
        <v>34</v>
      </c>
      <c r="Y35" s="29" t="s">
        <v>34</v>
      </c>
      <c r="Z35" s="29"/>
      <c r="AA35" s="27" t="s">
        <v>33</v>
      </c>
      <c r="AB35" s="27">
        <v>11</v>
      </c>
      <c r="AC35" s="27">
        <v>1119</v>
      </c>
      <c r="AD35" s="27" t="s">
        <v>34</v>
      </c>
      <c r="AE35" s="27" t="s">
        <v>1725</v>
      </c>
      <c r="AF35" s="27"/>
      <c r="AG35" s="29"/>
      <c r="AH35" s="29" t="s">
        <v>34</v>
      </c>
      <c r="AI35" s="29" t="s">
        <v>34</v>
      </c>
      <c r="AJ35" s="29" t="s">
        <v>34</v>
      </c>
      <c r="AK35" s="29" t="s">
        <v>34</v>
      </c>
      <c r="AL35" s="29"/>
      <c r="AM35" s="29"/>
      <c r="AN35" s="27" t="s">
        <v>34</v>
      </c>
      <c r="AO35" s="27" t="s">
        <v>34</v>
      </c>
      <c r="AP35" s="27" t="s">
        <v>34</v>
      </c>
      <c r="AQ35" s="27" t="s">
        <v>34</v>
      </c>
      <c r="AR35" s="29"/>
      <c r="AS35" s="29"/>
      <c r="AT35" s="27" t="s">
        <v>34</v>
      </c>
      <c r="AU35" s="27" t="s">
        <v>34</v>
      </c>
      <c r="AV35" s="27" t="s">
        <v>34</v>
      </c>
      <c r="AW35" s="27" t="s">
        <v>34</v>
      </c>
      <c r="AX35" s="29"/>
      <c r="AY35" s="29"/>
      <c r="AZ35" s="27" t="s">
        <v>34</v>
      </c>
      <c r="BA35" s="27" t="s">
        <v>34</v>
      </c>
      <c r="BB35" s="27" t="s">
        <v>34</v>
      </c>
      <c r="BC35" s="27" t="s">
        <v>34</v>
      </c>
      <c r="BD35" s="29"/>
      <c r="BE35" s="29"/>
      <c r="BF35" s="27" t="s">
        <v>34</v>
      </c>
      <c r="BG35" s="27" t="s">
        <v>34</v>
      </c>
      <c r="BH35" s="27" t="s">
        <v>34</v>
      </c>
      <c r="BI35" s="27" t="s">
        <v>34</v>
      </c>
      <c r="BJ35" s="29"/>
      <c r="BK35" s="27" t="s">
        <v>33</v>
      </c>
      <c r="BL35" s="27">
        <v>1119</v>
      </c>
      <c r="BM35" s="27">
        <v>4</v>
      </c>
      <c r="BN35" s="27" t="s">
        <v>1726</v>
      </c>
      <c r="BO35" s="27" t="s">
        <v>1727</v>
      </c>
      <c r="BP35" s="29" t="s">
        <v>1728</v>
      </c>
    </row>
    <row r="36" spans="1:68" ht="15.75" customHeight="1" x14ac:dyDescent="0.15">
      <c r="A36" s="35">
        <v>3561</v>
      </c>
      <c r="B36" s="27" t="s">
        <v>675</v>
      </c>
      <c r="C36" s="27" t="s">
        <v>46</v>
      </c>
      <c r="D36" s="29"/>
      <c r="E36" s="29" t="s">
        <v>34</v>
      </c>
      <c r="F36" s="29" t="s">
        <v>34</v>
      </c>
      <c r="G36" s="29" t="s">
        <v>34</v>
      </c>
      <c r="H36" s="29"/>
      <c r="I36" s="27" t="s">
        <v>46</v>
      </c>
      <c r="J36" s="29" t="s">
        <v>34</v>
      </c>
      <c r="K36" s="29" t="s">
        <v>34</v>
      </c>
      <c r="L36" s="29" t="s">
        <v>34</v>
      </c>
      <c r="M36" s="29" t="s">
        <v>34</v>
      </c>
      <c r="N36" s="29"/>
      <c r="O36" s="27" t="s">
        <v>46</v>
      </c>
      <c r="P36" s="29" t="s">
        <v>34</v>
      </c>
      <c r="Q36" s="29" t="s">
        <v>34</v>
      </c>
      <c r="R36" s="29" t="s">
        <v>34</v>
      </c>
      <c r="S36" s="29" t="s">
        <v>34</v>
      </c>
      <c r="T36" s="29"/>
      <c r="U36" s="27" t="s">
        <v>46</v>
      </c>
      <c r="V36" s="29" t="s">
        <v>34</v>
      </c>
      <c r="W36" s="29" t="s">
        <v>34</v>
      </c>
      <c r="X36" s="29" t="s">
        <v>34</v>
      </c>
      <c r="Y36" s="29" t="s">
        <v>34</v>
      </c>
      <c r="Z36" s="29"/>
      <c r="AA36" s="27" t="s">
        <v>46</v>
      </c>
      <c r="AB36" s="27">
        <v>31</v>
      </c>
      <c r="AC36" s="27">
        <v>1248</v>
      </c>
      <c r="AD36" s="27" t="s">
        <v>34</v>
      </c>
      <c r="AE36" s="29"/>
      <c r="AF36" s="27"/>
      <c r="AG36" s="29"/>
      <c r="AH36" s="29" t="s">
        <v>34</v>
      </c>
      <c r="AI36" s="29" t="s">
        <v>34</v>
      </c>
      <c r="AJ36" s="29" t="s">
        <v>34</v>
      </c>
      <c r="AK36" s="29" t="s">
        <v>34</v>
      </c>
      <c r="AL36" s="29"/>
      <c r="AM36" s="29"/>
      <c r="AN36" s="27" t="s">
        <v>34</v>
      </c>
      <c r="AO36" s="27" t="s">
        <v>34</v>
      </c>
      <c r="AP36" s="27" t="s">
        <v>34</v>
      </c>
      <c r="AQ36" s="27" t="s">
        <v>34</v>
      </c>
      <c r="AR36" s="29"/>
      <c r="AS36" s="29"/>
      <c r="AT36" s="27" t="s">
        <v>34</v>
      </c>
      <c r="AU36" s="27" t="s">
        <v>34</v>
      </c>
      <c r="AV36" s="27" t="s">
        <v>34</v>
      </c>
      <c r="AW36" s="27" t="s">
        <v>34</v>
      </c>
      <c r="AX36" s="29"/>
      <c r="AY36" s="29"/>
      <c r="AZ36" s="27" t="s">
        <v>34</v>
      </c>
      <c r="BA36" s="27" t="s">
        <v>34</v>
      </c>
      <c r="BB36" s="27" t="s">
        <v>34</v>
      </c>
      <c r="BC36" s="27" t="s">
        <v>34</v>
      </c>
      <c r="BD36" s="29"/>
      <c r="BE36" s="29"/>
      <c r="BF36" s="27" t="s">
        <v>34</v>
      </c>
      <c r="BG36" s="27" t="s">
        <v>34</v>
      </c>
      <c r="BH36" s="27" t="s">
        <v>34</v>
      </c>
      <c r="BI36" s="27" t="s">
        <v>34</v>
      </c>
      <c r="BJ36" s="29"/>
      <c r="BK36" s="27" t="s">
        <v>46</v>
      </c>
      <c r="BL36" s="27">
        <v>1248</v>
      </c>
      <c r="BM36" s="27">
        <v>19</v>
      </c>
      <c r="BN36" s="29" t="s">
        <v>34</v>
      </c>
      <c r="BO36" s="29" t="s">
        <v>34</v>
      </c>
      <c r="BP36" s="29"/>
    </row>
    <row r="37" spans="1:68" ht="15.75" customHeight="1" x14ac:dyDescent="0.15">
      <c r="A37" s="35">
        <v>3561</v>
      </c>
      <c r="B37" s="27" t="s">
        <v>675</v>
      </c>
      <c r="C37" s="27" t="s">
        <v>33</v>
      </c>
      <c r="D37" s="29"/>
      <c r="E37" s="29" t="s">
        <v>34</v>
      </c>
      <c r="F37" s="29" t="s">
        <v>34</v>
      </c>
      <c r="G37" s="29" t="s">
        <v>34</v>
      </c>
      <c r="H37" s="29"/>
      <c r="I37" s="27" t="s">
        <v>33</v>
      </c>
      <c r="J37" s="29" t="s">
        <v>34</v>
      </c>
      <c r="K37" s="29" t="s">
        <v>34</v>
      </c>
      <c r="L37" s="29" t="s">
        <v>34</v>
      </c>
      <c r="M37" s="29" t="s">
        <v>34</v>
      </c>
      <c r="N37" s="29"/>
      <c r="O37" s="27" t="s">
        <v>33</v>
      </c>
      <c r="P37" s="29" t="s">
        <v>34</v>
      </c>
      <c r="Q37" s="29" t="s">
        <v>34</v>
      </c>
      <c r="R37" s="29" t="s">
        <v>34</v>
      </c>
      <c r="S37" s="29" t="s">
        <v>34</v>
      </c>
      <c r="T37" s="29"/>
      <c r="U37" s="27" t="s">
        <v>33</v>
      </c>
      <c r="V37" s="29" t="s">
        <v>34</v>
      </c>
      <c r="W37" s="29" t="s">
        <v>34</v>
      </c>
      <c r="X37" s="29" t="s">
        <v>34</v>
      </c>
      <c r="Y37" s="29" t="s">
        <v>34</v>
      </c>
      <c r="Z37" s="29"/>
      <c r="AA37" s="27" t="s">
        <v>33</v>
      </c>
      <c r="AB37" s="27">
        <v>2</v>
      </c>
      <c r="AC37" s="27">
        <v>1119</v>
      </c>
      <c r="AD37" s="27" t="s">
        <v>34</v>
      </c>
      <c r="AE37" s="27" t="s">
        <v>1729</v>
      </c>
      <c r="AF37" s="27"/>
      <c r="AG37" s="29"/>
      <c r="AH37" s="29" t="s">
        <v>34</v>
      </c>
      <c r="AI37" s="29" t="s">
        <v>34</v>
      </c>
      <c r="AJ37" s="29" t="s">
        <v>34</v>
      </c>
      <c r="AK37" s="29" t="s">
        <v>34</v>
      </c>
      <c r="AL37" s="29"/>
      <c r="AM37" s="29"/>
      <c r="AN37" s="27" t="s">
        <v>34</v>
      </c>
      <c r="AO37" s="27" t="s">
        <v>34</v>
      </c>
      <c r="AP37" s="27" t="s">
        <v>34</v>
      </c>
      <c r="AQ37" s="27" t="s">
        <v>34</v>
      </c>
      <c r="AR37" s="29"/>
      <c r="AS37" s="29"/>
      <c r="AT37" s="27" t="s">
        <v>34</v>
      </c>
      <c r="AU37" s="27" t="s">
        <v>34</v>
      </c>
      <c r="AV37" s="27" t="s">
        <v>34</v>
      </c>
      <c r="AW37" s="27" t="s">
        <v>34</v>
      </c>
      <c r="AX37" s="29"/>
      <c r="AY37" s="29"/>
      <c r="AZ37" s="27" t="s">
        <v>34</v>
      </c>
      <c r="BA37" s="27" t="s">
        <v>34</v>
      </c>
      <c r="BB37" s="27" t="s">
        <v>34</v>
      </c>
      <c r="BC37" s="27" t="s">
        <v>34</v>
      </c>
      <c r="BD37" s="29"/>
      <c r="BE37" s="29"/>
      <c r="BF37" s="27" t="s">
        <v>34</v>
      </c>
      <c r="BG37" s="27" t="s">
        <v>34</v>
      </c>
      <c r="BH37" s="27" t="s">
        <v>34</v>
      </c>
      <c r="BI37" s="27" t="s">
        <v>34</v>
      </c>
      <c r="BJ37" s="29"/>
      <c r="BK37" s="29"/>
      <c r="BL37" s="27" t="s">
        <v>34</v>
      </c>
      <c r="BM37" s="27" t="s">
        <v>34</v>
      </c>
      <c r="BN37" s="27" t="s">
        <v>34</v>
      </c>
      <c r="BO37" s="27" t="s">
        <v>34</v>
      </c>
      <c r="BP37" s="29"/>
    </row>
    <row r="38" spans="1:68" ht="15.75" customHeight="1" x14ac:dyDescent="0.15">
      <c r="A38" s="35">
        <v>3561</v>
      </c>
      <c r="B38" s="27" t="s">
        <v>675</v>
      </c>
      <c r="C38" s="27" t="s">
        <v>46</v>
      </c>
      <c r="D38" s="29"/>
      <c r="E38" s="29" t="s">
        <v>34</v>
      </c>
      <c r="F38" s="29" t="s">
        <v>34</v>
      </c>
      <c r="G38" s="29" t="s">
        <v>34</v>
      </c>
      <c r="H38" s="29"/>
      <c r="I38" s="27" t="s">
        <v>46</v>
      </c>
      <c r="J38" s="29" t="s">
        <v>34</v>
      </c>
      <c r="K38" s="29" t="s">
        <v>34</v>
      </c>
      <c r="L38" s="29" t="s">
        <v>34</v>
      </c>
      <c r="M38" s="29" t="s">
        <v>34</v>
      </c>
      <c r="N38" s="29"/>
      <c r="O38" s="27" t="s">
        <v>46</v>
      </c>
      <c r="P38" s="29" t="s">
        <v>34</v>
      </c>
      <c r="Q38" s="29" t="s">
        <v>34</v>
      </c>
      <c r="R38" s="29" t="s">
        <v>34</v>
      </c>
      <c r="S38" s="29" t="s">
        <v>34</v>
      </c>
      <c r="T38" s="29"/>
      <c r="U38" s="27" t="s">
        <v>46</v>
      </c>
      <c r="V38" s="29" t="s">
        <v>34</v>
      </c>
      <c r="W38" s="29" t="s">
        <v>34</v>
      </c>
      <c r="X38" s="29" t="s">
        <v>34</v>
      </c>
      <c r="Y38" s="29" t="s">
        <v>34</v>
      </c>
      <c r="Z38" s="29"/>
      <c r="AA38" s="27" t="s">
        <v>46</v>
      </c>
      <c r="AB38" s="27">
        <v>0</v>
      </c>
      <c r="AC38" s="27">
        <v>1248</v>
      </c>
      <c r="AD38" s="27" t="s">
        <v>34</v>
      </c>
      <c r="AE38" s="29"/>
      <c r="AF38" s="27"/>
      <c r="AG38" s="29"/>
      <c r="AH38" s="29" t="s">
        <v>34</v>
      </c>
      <c r="AI38" s="29" t="s">
        <v>34</v>
      </c>
      <c r="AJ38" s="29" t="s">
        <v>34</v>
      </c>
      <c r="AK38" s="29" t="s">
        <v>34</v>
      </c>
      <c r="AL38" s="29"/>
      <c r="AM38" s="29"/>
      <c r="AN38" s="27" t="s">
        <v>34</v>
      </c>
      <c r="AO38" s="27" t="s">
        <v>34</v>
      </c>
      <c r="AP38" s="27" t="s">
        <v>34</v>
      </c>
      <c r="AQ38" s="27" t="s">
        <v>34</v>
      </c>
      <c r="AR38" s="29"/>
      <c r="AS38" s="29"/>
      <c r="AT38" s="27" t="s">
        <v>34</v>
      </c>
      <c r="AU38" s="27" t="s">
        <v>34</v>
      </c>
      <c r="AV38" s="27" t="s">
        <v>34</v>
      </c>
      <c r="AW38" s="27" t="s">
        <v>34</v>
      </c>
      <c r="AX38" s="29"/>
      <c r="AY38" s="29"/>
      <c r="AZ38" s="27" t="s">
        <v>34</v>
      </c>
      <c r="BA38" s="27" t="s">
        <v>34</v>
      </c>
      <c r="BB38" s="27" t="s">
        <v>34</v>
      </c>
      <c r="BC38" s="27" t="s">
        <v>34</v>
      </c>
      <c r="BD38" s="29"/>
      <c r="BE38" s="29"/>
      <c r="BF38" s="27" t="s">
        <v>34</v>
      </c>
      <c r="BG38" s="27" t="s">
        <v>34</v>
      </c>
      <c r="BH38" s="27" t="s">
        <v>34</v>
      </c>
      <c r="BI38" s="27" t="s">
        <v>34</v>
      </c>
      <c r="BJ38" s="29"/>
      <c r="BK38" s="29"/>
      <c r="BL38" s="27" t="s">
        <v>34</v>
      </c>
      <c r="BM38" s="27" t="s">
        <v>34</v>
      </c>
      <c r="BN38" s="27" t="s">
        <v>34</v>
      </c>
      <c r="BO38" s="27" t="s">
        <v>34</v>
      </c>
      <c r="BP38" s="29"/>
    </row>
    <row r="39" spans="1:68" ht="15.75" customHeight="1" x14ac:dyDescent="0.15">
      <c r="A39" s="35">
        <v>3561</v>
      </c>
      <c r="B39" s="27" t="s">
        <v>675</v>
      </c>
      <c r="C39" s="27" t="s">
        <v>33</v>
      </c>
      <c r="D39" s="29"/>
      <c r="E39" s="29" t="s">
        <v>34</v>
      </c>
      <c r="F39" s="29" t="s">
        <v>34</v>
      </c>
      <c r="G39" s="29" t="s">
        <v>34</v>
      </c>
      <c r="H39" s="29"/>
      <c r="I39" s="27" t="s">
        <v>33</v>
      </c>
      <c r="J39" s="29" t="s">
        <v>34</v>
      </c>
      <c r="K39" s="29" t="s">
        <v>34</v>
      </c>
      <c r="L39" s="29" t="s">
        <v>34</v>
      </c>
      <c r="M39" s="29" t="s">
        <v>34</v>
      </c>
      <c r="N39" s="29"/>
      <c r="O39" s="27" t="s">
        <v>33</v>
      </c>
      <c r="P39" s="29" t="s">
        <v>34</v>
      </c>
      <c r="Q39" s="29" t="s">
        <v>34</v>
      </c>
      <c r="R39" s="29" t="s">
        <v>34</v>
      </c>
      <c r="S39" s="29" t="s">
        <v>34</v>
      </c>
      <c r="T39" s="29"/>
      <c r="U39" s="27" t="s">
        <v>33</v>
      </c>
      <c r="V39" s="29" t="s">
        <v>34</v>
      </c>
      <c r="W39" s="29" t="s">
        <v>34</v>
      </c>
      <c r="X39" s="29" t="s">
        <v>34</v>
      </c>
      <c r="Y39" s="29" t="s">
        <v>34</v>
      </c>
      <c r="Z39" s="29"/>
      <c r="AA39" s="27" t="s">
        <v>33</v>
      </c>
      <c r="AB39" s="27">
        <v>0</v>
      </c>
      <c r="AC39" s="27">
        <v>1119</v>
      </c>
      <c r="AD39" s="27" t="s">
        <v>34</v>
      </c>
      <c r="AE39" s="27" t="s">
        <v>1730</v>
      </c>
      <c r="AF39" s="27"/>
      <c r="AG39" s="29"/>
      <c r="AH39" s="29" t="s">
        <v>34</v>
      </c>
      <c r="AI39" s="29" t="s">
        <v>34</v>
      </c>
      <c r="AJ39" s="29" t="s">
        <v>34</v>
      </c>
      <c r="AK39" s="29" t="s">
        <v>34</v>
      </c>
      <c r="AL39" s="29"/>
      <c r="AM39" s="29"/>
      <c r="AN39" s="27" t="s">
        <v>34</v>
      </c>
      <c r="AO39" s="27" t="s">
        <v>34</v>
      </c>
      <c r="AP39" s="27" t="s">
        <v>34</v>
      </c>
      <c r="AQ39" s="27" t="s">
        <v>34</v>
      </c>
      <c r="AR39" s="29"/>
      <c r="AS39" s="29"/>
      <c r="AT39" s="27" t="s">
        <v>34</v>
      </c>
      <c r="AU39" s="27" t="s">
        <v>34</v>
      </c>
      <c r="AV39" s="27" t="s">
        <v>34</v>
      </c>
      <c r="AW39" s="27" t="s">
        <v>34</v>
      </c>
      <c r="AX39" s="29"/>
      <c r="AY39" s="29"/>
      <c r="AZ39" s="27" t="s">
        <v>34</v>
      </c>
      <c r="BA39" s="27" t="s">
        <v>34</v>
      </c>
      <c r="BB39" s="27" t="s">
        <v>34</v>
      </c>
      <c r="BC39" s="27" t="s">
        <v>34</v>
      </c>
      <c r="BD39" s="29"/>
      <c r="BE39" s="29"/>
      <c r="BF39" s="27" t="s">
        <v>34</v>
      </c>
      <c r="BG39" s="27" t="s">
        <v>34</v>
      </c>
      <c r="BH39" s="27" t="s">
        <v>34</v>
      </c>
      <c r="BI39" s="27" t="s">
        <v>34</v>
      </c>
      <c r="BJ39" s="29"/>
      <c r="BK39" s="29"/>
      <c r="BL39" s="27" t="s">
        <v>34</v>
      </c>
      <c r="BM39" s="27" t="s">
        <v>34</v>
      </c>
      <c r="BN39" s="27" t="s">
        <v>34</v>
      </c>
      <c r="BO39" s="27" t="s">
        <v>34</v>
      </c>
      <c r="BP39" s="29"/>
    </row>
    <row r="40" spans="1:68" ht="15.75" customHeight="1" x14ac:dyDescent="0.15">
      <c r="A40" s="35">
        <v>3561</v>
      </c>
      <c r="B40" s="27" t="s">
        <v>675</v>
      </c>
      <c r="C40" s="27" t="s">
        <v>46</v>
      </c>
      <c r="D40" s="29"/>
      <c r="E40" s="29" t="s">
        <v>34</v>
      </c>
      <c r="F40" s="29" t="s">
        <v>34</v>
      </c>
      <c r="G40" s="29" t="s">
        <v>34</v>
      </c>
      <c r="H40" s="29"/>
      <c r="I40" s="27" t="s">
        <v>46</v>
      </c>
      <c r="J40" s="29" t="s">
        <v>34</v>
      </c>
      <c r="K40" s="29" t="s">
        <v>34</v>
      </c>
      <c r="L40" s="29" t="s">
        <v>34</v>
      </c>
      <c r="M40" s="29" t="s">
        <v>34</v>
      </c>
      <c r="N40" s="29"/>
      <c r="O40" s="27" t="s">
        <v>46</v>
      </c>
      <c r="P40" s="29" t="s">
        <v>34</v>
      </c>
      <c r="Q40" s="29" t="s">
        <v>34</v>
      </c>
      <c r="R40" s="29" t="s">
        <v>34</v>
      </c>
      <c r="S40" s="29" t="s">
        <v>34</v>
      </c>
      <c r="T40" s="29"/>
      <c r="U40" s="27" t="s">
        <v>46</v>
      </c>
      <c r="V40" s="29" t="s">
        <v>34</v>
      </c>
      <c r="W40" s="29" t="s">
        <v>34</v>
      </c>
      <c r="X40" s="29" t="s">
        <v>34</v>
      </c>
      <c r="Y40" s="29" t="s">
        <v>34</v>
      </c>
      <c r="Z40" s="29"/>
      <c r="AA40" s="27" t="s">
        <v>46</v>
      </c>
      <c r="AB40" s="27">
        <v>1</v>
      </c>
      <c r="AC40" s="27">
        <v>1248</v>
      </c>
      <c r="AD40" s="27" t="s">
        <v>34</v>
      </c>
      <c r="AE40" s="29"/>
      <c r="AF40" s="27"/>
      <c r="AG40" s="29"/>
      <c r="AH40" s="29" t="s">
        <v>34</v>
      </c>
      <c r="AI40" s="29" t="s">
        <v>34</v>
      </c>
      <c r="AJ40" s="29" t="s">
        <v>34</v>
      </c>
      <c r="AK40" s="29" t="s">
        <v>34</v>
      </c>
      <c r="AL40" s="29"/>
      <c r="AM40" s="29"/>
      <c r="AN40" s="27" t="s">
        <v>34</v>
      </c>
      <c r="AO40" s="27" t="s">
        <v>34</v>
      </c>
      <c r="AP40" s="27" t="s">
        <v>34</v>
      </c>
      <c r="AQ40" s="27" t="s">
        <v>34</v>
      </c>
      <c r="AR40" s="29"/>
      <c r="AS40" s="29"/>
      <c r="AT40" s="27" t="s">
        <v>34</v>
      </c>
      <c r="AU40" s="27" t="s">
        <v>34</v>
      </c>
      <c r="AV40" s="27" t="s">
        <v>34</v>
      </c>
      <c r="AW40" s="27" t="s">
        <v>34</v>
      </c>
      <c r="AX40" s="29"/>
      <c r="AY40" s="29"/>
      <c r="AZ40" s="27" t="s">
        <v>34</v>
      </c>
      <c r="BA40" s="27" t="s">
        <v>34</v>
      </c>
      <c r="BB40" s="27" t="s">
        <v>34</v>
      </c>
      <c r="BC40" s="27" t="s">
        <v>34</v>
      </c>
      <c r="BD40" s="29"/>
      <c r="BE40" s="29"/>
      <c r="BF40" s="27" t="s">
        <v>34</v>
      </c>
      <c r="BG40" s="27" t="s">
        <v>34</v>
      </c>
      <c r="BH40" s="27" t="s">
        <v>34</v>
      </c>
      <c r="BI40" s="27" t="s">
        <v>34</v>
      </c>
      <c r="BJ40" s="29"/>
      <c r="BK40" s="29"/>
      <c r="BL40" s="27" t="s">
        <v>34</v>
      </c>
      <c r="BM40" s="27" t="s">
        <v>34</v>
      </c>
      <c r="BN40" s="27" t="s">
        <v>34</v>
      </c>
      <c r="BO40" s="27" t="s">
        <v>34</v>
      </c>
      <c r="BP40" s="29"/>
    </row>
    <row r="41" spans="1:68" ht="40.5" customHeight="1" x14ac:dyDescent="0.15">
      <c r="A41" s="27">
        <v>2030</v>
      </c>
      <c r="B41" s="27" t="s">
        <v>721</v>
      </c>
      <c r="C41" s="27" t="s">
        <v>33</v>
      </c>
      <c r="D41" s="27">
        <v>5726</v>
      </c>
      <c r="E41" s="27" t="s">
        <v>34</v>
      </c>
      <c r="F41" s="27" t="s">
        <v>34</v>
      </c>
      <c r="G41" s="27" t="s">
        <v>34</v>
      </c>
      <c r="H41" s="29"/>
      <c r="I41" s="27" t="s">
        <v>33</v>
      </c>
      <c r="J41" s="27">
        <v>5726</v>
      </c>
      <c r="K41" s="27" t="s">
        <v>34</v>
      </c>
      <c r="L41" s="27" t="s">
        <v>34</v>
      </c>
      <c r="M41" s="27" t="s">
        <v>34</v>
      </c>
      <c r="N41" s="29"/>
      <c r="O41" s="27" t="s">
        <v>33</v>
      </c>
      <c r="P41" s="27">
        <v>5726</v>
      </c>
      <c r="Q41" s="27" t="s">
        <v>34</v>
      </c>
      <c r="R41" s="27" t="s">
        <v>34</v>
      </c>
      <c r="S41" s="27" t="s">
        <v>34</v>
      </c>
      <c r="T41" s="29"/>
      <c r="U41" s="27" t="s">
        <v>33</v>
      </c>
      <c r="V41" s="27">
        <v>5726</v>
      </c>
      <c r="W41" s="27" t="s">
        <v>34</v>
      </c>
      <c r="X41" s="27" t="s">
        <v>34</v>
      </c>
      <c r="Y41" s="27" t="s">
        <v>34</v>
      </c>
      <c r="Z41" s="29"/>
      <c r="AA41" s="27" t="s">
        <v>33</v>
      </c>
      <c r="AB41" s="27">
        <v>5726</v>
      </c>
      <c r="AC41" s="27" t="s">
        <v>34</v>
      </c>
      <c r="AD41" s="27" t="s">
        <v>34</v>
      </c>
      <c r="AE41" s="27" t="s">
        <v>34</v>
      </c>
      <c r="AF41" s="29"/>
      <c r="AG41" s="27" t="s">
        <v>33</v>
      </c>
      <c r="AH41" s="27">
        <v>5726</v>
      </c>
      <c r="AI41" s="27" t="s">
        <v>34</v>
      </c>
      <c r="AJ41" s="27" t="s">
        <v>34</v>
      </c>
      <c r="AK41" s="27" t="s">
        <v>34</v>
      </c>
      <c r="AL41" s="29"/>
      <c r="AM41" s="27" t="s">
        <v>33</v>
      </c>
      <c r="AN41" s="27">
        <v>5726</v>
      </c>
      <c r="AO41" s="27" t="s">
        <v>34</v>
      </c>
      <c r="AP41" s="27" t="s">
        <v>34</v>
      </c>
      <c r="AQ41" s="27" t="s">
        <v>34</v>
      </c>
      <c r="AR41" s="29"/>
      <c r="AS41" s="27" t="s">
        <v>33</v>
      </c>
      <c r="AT41" s="27">
        <v>5726</v>
      </c>
      <c r="AU41" s="27" t="s">
        <v>34</v>
      </c>
      <c r="AV41" s="27" t="s">
        <v>34</v>
      </c>
      <c r="AW41" s="27" t="s">
        <v>34</v>
      </c>
      <c r="AX41" s="29"/>
      <c r="AY41" s="27" t="s">
        <v>33</v>
      </c>
      <c r="AZ41" s="27">
        <v>5726</v>
      </c>
      <c r="BA41" s="27" t="s">
        <v>34</v>
      </c>
      <c r="BB41" s="27" t="s">
        <v>34</v>
      </c>
      <c r="BC41" s="27" t="s">
        <v>34</v>
      </c>
      <c r="BD41" s="29"/>
      <c r="BE41" s="27" t="s">
        <v>33</v>
      </c>
      <c r="BF41" s="27">
        <v>5726</v>
      </c>
      <c r="BG41" s="27" t="s">
        <v>34</v>
      </c>
      <c r="BH41" s="27" t="s">
        <v>34</v>
      </c>
      <c r="BI41" s="27" t="s">
        <v>34</v>
      </c>
      <c r="BJ41" s="29"/>
      <c r="BK41" s="27" t="s">
        <v>33</v>
      </c>
      <c r="BL41" s="27">
        <v>5726</v>
      </c>
      <c r="BM41" s="27">
        <v>611</v>
      </c>
      <c r="BN41" s="27" t="s">
        <v>1731</v>
      </c>
      <c r="BO41" s="27" t="s">
        <v>1732</v>
      </c>
      <c r="BP41" s="27" t="s">
        <v>1733</v>
      </c>
    </row>
    <row r="42" spans="1:68" ht="15.75" customHeight="1" x14ac:dyDescent="0.15">
      <c r="A42" s="27">
        <v>2030</v>
      </c>
      <c r="B42" s="27" t="s">
        <v>721</v>
      </c>
      <c r="C42" s="27" t="s">
        <v>46</v>
      </c>
      <c r="D42" s="27">
        <v>93708</v>
      </c>
      <c r="E42" s="27" t="s">
        <v>34</v>
      </c>
      <c r="F42" s="27" t="s">
        <v>34</v>
      </c>
      <c r="G42" s="27" t="s">
        <v>34</v>
      </c>
      <c r="H42" s="29"/>
      <c r="I42" s="27" t="s">
        <v>46</v>
      </c>
      <c r="J42" s="27">
        <v>93708</v>
      </c>
      <c r="K42" s="27" t="s">
        <v>34</v>
      </c>
      <c r="L42" s="27" t="s">
        <v>34</v>
      </c>
      <c r="M42" s="27" t="s">
        <v>34</v>
      </c>
      <c r="N42" s="29"/>
      <c r="O42" s="27" t="s">
        <v>46</v>
      </c>
      <c r="P42" s="27">
        <v>93708</v>
      </c>
      <c r="Q42" s="27" t="s">
        <v>34</v>
      </c>
      <c r="R42" s="27" t="s">
        <v>34</v>
      </c>
      <c r="S42" s="27" t="s">
        <v>34</v>
      </c>
      <c r="T42" s="29"/>
      <c r="U42" s="27" t="s">
        <v>46</v>
      </c>
      <c r="V42" s="27">
        <v>93708</v>
      </c>
      <c r="W42" s="27" t="s">
        <v>34</v>
      </c>
      <c r="X42" s="27" t="s">
        <v>34</v>
      </c>
      <c r="Y42" s="27" t="s">
        <v>34</v>
      </c>
      <c r="Z42" s="29"/>
      <c r="AA42" s="27" t="s">
        <v>46</v>
      </c>
      <c r="AB42" s="27">
        <v>93708</v>
      </c>
      <c r="AC42" s="27" t="s">
        <v>34</v>
      </c>
      <c r="AD42" s="27" t="s">
        <v>34</v>
      </c>
      <c r="AE42" s="27" t="s">
        <v>34</v>
      </c>
      <c r="AF42" s="29"/>
      <c r="AG42" s="27" t="s">
        <v>46</v>
      </c>
      <c r="AH42" s="27">
        <v>93708</v>
      </c>
      <c r="AI42" s="27" t="s">
        <v>34</v>
      </c>
      <c r="AJ42" s="27" t="s">
        <v>34</v>
      </c>
      <c r="AK42" s="27" t="s">
        <v>34</v>
      </c>
      <c r="AL42" s="29"/>
      <c r="AM42" s="27" t="s">
        <v>46</v>
      </c>
      <c r="AN42" s="27">
        <v>93708</v>
      </c>
      <c r="AO42" s="27" t="s">
        <v>34</v>
      </c>
      <c r="AP42" s="27" t="s">
        <v>34</v>
      </c>
      <c r="AQ42" s="27" t="s">
        <v>34</v>
      </c>
      <c r="AR42" s="29"/>
      <c r="AS42" s="27" t="s">
        <v>46</v>
      </c>
      <c r="AT42" s="27">
        <v>93708</v>
      </c>
      <c r="AU42" s="27" t="s">
        <v>34</v>
      </c>
      <c r="AV42" s="27" t="s">
        <v>34</v>
      </c>
      <c r="AW42" s="27" t="s">
        <v>34</v>
      </c>
      <c r="AX42" s="29"/>
      <c r="AY42" s="27" t="s">
        <v>46</v>
      </c>
      <c r="AZ42" s="27">
        <v>93708</v>
      </c>
      <c r="BA42" s="27" t="s">
        <v>34</v>
      </c>
      <c r="BB42" s="27" t="s">
        <v>34</v>
      </c>
      <c r="BC42" s="27" t="s">
        <v>34</v>
      </c>
      <c r="BD42" s="29"/>
      <c r="BE42" s="27" t="s">
        <v>46</v>
      </c>
      <c r="BF42" s="27">
        <v>93708</v>
      </c>
      <c r="BG42" s="27" t="s">
        <v>34</v>
      </c>
      <c r="BH42" s="27" t="s">
        <v>34</v>
      </c>
      <c r="BI42" s="27" t="s">
        <v>34</v>
      </c>
      <c r="BJ42" s="29"/>
      <c r="BK42" s="27" t="s">
        <v>46</v>
      </c>
      <c r="BL42" s="27">
        <v>93708</v>
      </c>
      <c r="BM42" s="27">
        <v>12372</v>
      </c>
      <c r="BN42" s="29"/>
      <c r="BO42" s="29"/>
      <c r="BP42" s="29"/>
    </row>
    <row r="43" spans="1:68" ht="36.75" customHeight="1" x14ac:dyDescent="0.15">
      <c r="A43" s="27">
        <v>1558</v>
      </c>
      <c r="B43" s="27" t="s">
        <v>737</v>
      </c>
      <c r="C43" s="27" t="s">
        <v>1734</v>
      </c>
      <c r="D43" s="27">
        <f>257+1097</f>
        <v>1354</v>
      </c>
      <c r="E43" s="27" t="s">
        <v>34</v>
      </c>
      <c r="F43" s="27" t="s">
        <v>34</v>
      </c>
      <c r="G43" s="27" t="s">
        <v>34</v>
      </c>
      <c r="H43" s="27" t="s">
        <v>1735</v>
      </c>
      <c r="I43" s="27" t="s">
        <v>1734</v>
      </c>
      <c r="J43" s="27">
        <f t="shared" ref="J43:J44" si="101">D43</f>
        <v>1354</v>
      </c>
      <c r="K43" s="27" t="s">
        <v>34</v>
      </c>
      <c r="L43" s="27" t="s">
        <v>34</v>
      </c>
      <c r="M43" s="27" t="s">
        <v>34</v>
      </c>
      <c r="N43" s="29"/>
      <c r="O43" s="27" t="s">
        <v>1734</v>
      </c>
      <c r="P43" s="27">
        <f t="shared" ref="P43:P44" si="102">J43</f>
        <v>1354</v>
      </c>
      <c r="Q43" s="27" t="s">
        <v>34</v>
      </c>
      <c r="R43" s="27" t="s">
        <v>34</v>
      </c>
      <c r="S43" s="27" t="s">
        <v>34</v>
      </c>
      <c r="T43" s="29"/>
      <c r="U43" s="27" t="s">
        <v>1734</v>
      </c>
      <c r="V43" s="27">
        <f t="shared" ref="V43:V44" si="103">P43</f>
        <v>1354</v>
      </c>
      <c r="W43" s="27" t="s">
        <v>34</v>
      </c>
      <c r="X43" s="27" t="s">
        <v>34</v>
      </c>
      <c r="Y43" s="27" t="s">
        <v>34</v>
      </c>
      <c r="Z43" s="29">
        <f t="shared" ref="Z43:Z48" si="104">T43</f>
        <v>0</v>
      </c>
      <c r="AA43" s="27" t="s">
        <v>1734</v>
      </c>
      <c r="AB43" s="27">
        <f t="shared" ref="AB43:AB44" si="105">V43</f>
        <v>1354</v>
      </c>
      <c r="AC43" s="27" t="s">
        <v>34</v>
      </c>
      <c r="AD43" s="27" t="s">
        <v>34</v>
      </c>
      <c r="AE43" s="27" t="s">
        <v>34</v>
      </c>
      <c r="AF43" s="29"/>
      <c r="AG43" s="27" t="s">
        <v>1734</v>
      </c>
      <c r="AH43" s="27">
        <f t="shared" ref="AH43:AH44" si="106">AB43</f>
        <v>1354</v>
      </c>
      <c r="AI43" s="27">
        <v>257</v>
      </c>
      <c r="AJ43" s="27" t="s">
        <v>1736</v>
      </c>
      <c r="AK43" s="27" t="s">
        <v>1737</v>
      </c>
      <c r="AL43" s="27" t="s">
        <v>1738</v>
      </c>
      <c r="AM43" s="27" t="s">
        <v>1734</v>
      </c>
      <c r="AN43" s="27">
        <f t="shared" ref="AN43:AN44" si="107">AH43</f>
        <v>1354</v>
      </c>
      <c r="AO43" s="27" t="s">
        <v>34</v>
      </c>
      <c r="AP43" s="27" t="s">
        <v>34</v>
      </c>
      <c r="AQ43" s="27" t="s">
        <v>34</v>
      </c>
      <c r="AR43" s="29">
        <f t="shared" ref="AR43:AR45" si="108">AF43</f>
        <v>0</v>
      </c>
      <c r="AS43" s="27" t="s">
        <v>1734</v>
      </c>
      <c r="AT43" s="27">
        <f t="shared" ref="AT43:AT44" si="109">AN43</f>
        <v>1354</v>
      </c>
      <c r="AU43" s="27" t="s">
        <v>34</v>
      </c>
      <c r="AV43" s="27" t="s">
        <v>34</v>
      </c>
      <c r="AW43" s="27" t="s">
        <v>34</v>
      </c>
      <c r="AX43" s="29"/>
      <c r="AY43" s="27" t="s">
        <v>1734</v>
      </c>
      <c r="AZ43" s="27">
        <f t="shared" ref="AZ43:AZ44" si="110">AT43</f>
        <v>1354</v>
      </c>
      <c r="BA43" s="27" t="s">
        <v>34</v>
      </c>
      <c r="BB43" s="27" t="s">
        <v>34</v>
      </c>
      <c r="BC43" s="27" t="s">
        <v>34</v>
      </c>
      <c r="BD43" s="29"/>
      <c r="BE43" s="27" t="s">
        <v>1734</v>
      </c>
      <c r="BF43" s="27">
        <f t="shared" ref="BF43:BF44" si="111">AZ43</f>
        <v>1354</v>
      </c>
      <c r="BG43" s="27" t="s">
        <v>34</v>
      </c>
      <c r="BH43" s="27" t="s">
        <v>34</v>
      </c>
      <c r="BI43" s="27" t="s">
        <v>34</v>
      </c>
      <c r="BJ43" s="29"/>
      <c r="BK43" s="27" t="s">
        <v>1734</v>
      </c>
      <c r="BL43" s="27">
        <f t="shared" ref="BL43:BL44" si="112">BF43</f>
        <v>1354</v>
      </c>
      <c r="BM43" s="27" t="s">
        <v>34</v>
      </c>
      <c r="BN43" s="27" t="s">
        <v>34</v>
      </c>
      <c r="BO43" s="27" t="s">
        <v>34</v>
      </c>
      <c r="BP43" s="29"/>
    </row>
    <row r="44" spans="1:68" ht="36.75" customHeight="1" x14ac:dyDescent="0.15">
      <c r="A44" s="27">
        <v>1558</v>
      </c>
      <c r="B44" s="27" t="s">
        <v>737</v>
      </c>
      <c r="C44" s="27" t="s">
        <v>1739</v>
      </c>
      <c r="D44" s="29">
        <f>231+1020</f>
        <v>1251</v>
      </c>
      <c r="E44" s="27" t="s">
        <v>34</v>
      </c>
      <c r="F44" s="27" t="s">
        <v>34</v>
      </c>
      <c r="G44" s="27" t="s">
        <v>34</v>
      </c>
      <c r="H44" s="29" t="s">
        <v>1740</v>
      </c>
      <c r="I44" s="27" t="s">
        <v>1739</v>
      </c>
      <c r="J44" s="29">
        <f t="shared" si="101"/>
        <v>1251</v>
      </c>
      <c r="K44" s="27" t="s">
        <v>34</v>
      </c>
      <c r="L44" s="27" t="s">
        <v>34</v>
      </c>
      <c r="M44" s="27" t="s">
        <v>34</v>
      </c>
      <c r="N44" s="29"/>
      <c r="O44" s="27" t="s">
        <v>1739</v>
      </c>
      <c r="P44" s="29">
        <f t="shared" si="102"/>
        <v>1251</v>
      </c>
      <c r="Q44" s="27" t="s">
        <v>34</v>
      </c>
      <c r="R44" s="27" t="s">
        <v>34</v>
      </c>
      <c r="S44" s="27" t="s">
        <v>34</v>
      </c>
      <c r="T44" s="29"/>
      <c r="U44" s="27" t="s">
        <v>1739</v>
      </c>
      <c r="V44" s="29">
        <f t="shared" si="103"/>
        <v>1251</v>
      </c>
      <c r="W44" s="27" t="s">
        <v>34</v>
      </c>
      <c r="X44" s="27" t="s">
        <v>34</v>
      </c>
      <c r="Y44" s="27" t="s">
        <v>34</v>
      </c>
      <c r="Z44" s="29">
        <f t="shared" si="104"/>
        <v>0</v>
      </c>
      <c r="AA44" s="27" t="s">
        <v>1739</v>
      </c>
      <c r="AB44" s="29">
        <f t="shared" si="105"/>
        <v>1251</v>
      </c>
      <c r="AC44" s="27" t="s">
        <v>34</v>
      </c>
      <c r="AD44" s="27" t="s">
        <v>34</v>
      </c>
      <c r="AE44" s="27" t="s">
        <v>34</v>
      </c>
      <c r="AF44" s="29"/>
      <c r="AG44" s="27" t="s">
        <v>1739</v>
      </c>
      <c r="AH44" s="27">
        <f t="shared" si="106"/>
        <v>1251</v>
      </c>
      <c r="AI44" s="27">
        <v>231</v>
      </c>
      <c r="AJ44" s="27" t="s">
        <v>1741</v>
      </c>
      <c r="AK44" s="29"/>
      <c r="AL44" s="27"/>
      <c r="AM44" s="27" t="s">
        <v>1739</v>
      </c>
      <c r="AN44" s="29">
        <f t="shared" si="107"/>
        <v>1251</v>
      </c>
      <c r="AO44" s="27" t="s">
        <v>34</v>
      </c>
      <c r="AP44" s="27" t="s">
        <v>34</v>
      </c>
      <c r="AQ44" s="27" t="s">
        <v>34</v>
      </c>
      <c r="AR44" s="29">
        <f t="shared" si="108"/>
        <v>0</v>
      </c>
      <c r="AS44" s="27" t="s">
        <v>1739</v>
      </c>
      <c r="AT44" s="29">
        <f t="shared" si="109"/>
        <v>1251</v>
      </c>
      <c r="AU44" s="27" t="s">
        <v>34</v>
      </c>
      <c r="AV44" s="27" t="s">
        <v>34</v>
      </c>
      <c r="AW44" s="27" t="s">
        <v>34</v>
      </c>
      <c r="AX44" s="29"/>
      <c r="AY44" s="27" t="s">
        <v>1739</v>
      </c>
      <c r="AZ44" s="29">
        <f t="shared" si="110"/>
        <v>1251</v>
      </c>
      <c r="BA44" s="27" t="s">
        <v>34</v>
      </c>
      <c r="BB44" s="27" t="s">
        <v>34</v>
      </c>
      <c r="BC44" s="27" t="s">
        <v>34</v>
      </c>
      <c r="BD44" s="29"/>
      <c r="BE44" s="27" t="s">
        <v>1739</v>
      </c>
      <c r="BF44" s="29">
        <f t="shared" si="111"/>
        <v>1251</v>
      </c>
      <c r="BG44" s="27" t="s">
        <v>34</v>
      </c>
      <c r="BH44" s="27" t="s">
        <v>34</v>
      </c>
      <c r="BI44" s="27" t="s">
        <v>34</v>
      </c>
      <c r="BJ44" s="29"/>
      <c r="BK44" s="27" t="s">
        <v>1739</v>
      </c>
      <c r="BL44" s="29">
        <f t="shared" si="112"/>
        <v>1251</v>
      </c>
      <c r="BM44" s="27" t="s">
        <v>34</v>
      </c>
      <c r="BN44" s="27" t="s">
        <v>34</v>
      </c>
      <c r="BO44" s="27" t="s">
        <v>34</v>
      </c>
      <c r="BP44" s="29"/>
    </row>
    <row r="45" spans="1:68" ht="36.75" customHeight="1" x14ac:dyDescent="0.15">
      <c r="A45" s="27">
        <v>1558</v>
      </c>
      <c r="B45" s="27" t="s">
        <v>737</v>
      </c>
      <c r="C45" s="27" t="s">
        <v>46</v>
      </c>
      <c r="D45" s="27">
        <f>48+248</f>
        <v>296</v>
      </c>
      <c r="E45" s="27" t="s">
        <v>34</v>
      </c>
      <c r="F45" s="27" t="s">
        <v>34</v>
      </c>
      <c r="G45" s="27" t="s">
        <v>34</v>
      </c>
      <c r="H45" s="29" t="s">
        <v>1742</v>
      </c>
      <c r="I45" s="27" t="str">
        <f t="shared" ref="I45:J45" si="113">C45</f>
        <v>No Tdap</v>
      </c>
      <c r="J45" s="27">
        <f t="shared" si="113"/>
        <v>296</v>
      </c>
      <c r="K45" s="27" t="s">
        <v>34</v>
      </c>
      <c r="L45" s="27" t="s">
        <v>34</v>
      </c>
      <c r="M45" s="27" t="s">
        <v>34</v>
      </c>
      <c r="N45" s="29"/>
      <c r="O45" s="27" t="str">
        <f t="shared" ref="O45:P45" si="114">I45</f>
        <v>No Tdap</v>
      </c>
      <c r="P45" s="27">
        <f t="shared" si="114"/>
        <v>296</v>
      </c>
      <c r="Q45" s="27" t="s">
        <v>34</v>
      </c>
      <c r="R45" s="27" t="s">
        <v>34</v>
      </c>
      <c r="S45" s="27" t="s">
        <v>34</v>
      </c>
      <c r="T45" s="29"/>
      <c r="U45" s="27" t="str">
        <f t="shared" ref="U45:V45" si="115">O45</f>
        <v>No Tdap</v>
      </c>
      <c r="V45" s="27">
        <f t="shared" si="115"/>
        <v>296</v>
      </c>
      <c r="W45" s="27" t="s">
        <v>34</v>
      </c>
      <c r="X45" s="27" t="s">
        <v>34</v>
      </c>
      <c r="Y45" s="27" t="s">
        <v>34</v>
      </c>
      <c r="Z45" s="29">
        <f t="shared" si="104"/>
        <v>0</v>
      </c>
      <c r="AA45" s="27" t="str">
        <f t="shared" ref="AA45:AB45" si="116">U45</f>
        <v>No Tdap</v>
      </c>
      <c r="AB45" s="27">
        <f t="shared" si="116"/>
        <v>296</v>
      </c>
      <c r="AC45" s="27" t="s">
        <v>34</v>
      </c>
      <c r="AD45" s="27" t="s">
        <v>34</v>
      </c>
      <c r="AE45" s="27" t="s">
        <v>34</v>
      </c>
      <c r="AF45" s="29"/>
      <c r="AG45" s="27" t="str">
        <f t="shared" ref="AG45:AH45" si="117">AA45</f>
        <v>No Tdap</v>
      </c>
      <c r="AH45" s="27">
        <f t="shared" si="117"/>
        <v>296</v>
      </c>
      <c r="AI45" s="27">
        <v>48</v>
      </c>
      <c r="AJ45" s="29"/>
      <c r="AK45" s="29"/>
      <c r="AL45" s="29"/>
      <c r="AM45" s="27" t="str">
        <f t="shared" ref="AM45:AN45" si="118">AG45</f>
        <v>No Tdap</v>
      </c>
      <c r="AN45" s="27">
        <f t="shared" si="118"/>
        <v>296</v>
      </c>
      <c r="AO45" s="27" t="s">
        <v>34</v>
      </c>
      <c r="AP45" s="27" t="s">
        <v>34</v>
      </c>
      <c r="AQ45" s="27" t="s">
        <v>34</v>
      </c>
      <c r="AR45" s="29">
        <f t="shared" si="108"/>
        <v>0</v>
      </c>
      <c r="AS45" s="27" t="str">
        <f t="shared" ref="AS45:AT45" si="119">AM45</f>
        <v>No Tdap</v>
      </c>
      <c r="AT45" s="27">
        <f t="shared" si="119"/>
        <v>296</v>
      </c>
      <c r="AU45" s="27" t="s">
        <v>34</v>
      </c>
      <c r="AV45" s="27" t="s">
        <v>34</v>
      </c>
      <c r="AW45" s="27" t="s">
        <v>34</v>
      </c>
      <c r="AX45" s="29"/>
      <c r="AY45" s="27" t="str">
        <f t="shared" ref="AY45:AZ45" si="120">AS45</f>
        <v>No Tdap</v>
      </c>
      <c r="AZ45" s="27">
        <f t="shared" si="120"/>
        <v>296</v>
      </c>
      <c r="BA45" s="27" t="s">
        <v>34</v>
      </c>
      <c r="BB45" s="27" t="s">
        <v>34</v>
      </c>
      <c r="BC45" s="27" t="s">
        <v>34</v>
      </c>
      <c r="BD45" s="29"/>
      <c r="BE45" s="27" t="str">
        <f t="shared" ref="BE45:BF45" si="121">AY45</f>
        <v>No Tdap</v>
      </c>
      <c r="BF45" s="27">
        <f t="shared" si="121"/>
        <v>296</v>
      </c>
      <c r="BG45" s="27" t="s">
        <v>34</v>
      </c>
      <c r="BH45" s="27" t="s">
        <v>34</v>
      </c>
      <c r="BI45" s="27" t="s">
        <v>34</v>
      </c>
      <c r="BJ45" s="29"/>
      <c r="BK45" s="27" t="str">
        <f t="shared" ref="BK45:BL45" si="122">BE45</f>
        <v>No Tdap</v>
      </c>
      <c r="BL45" s="27">
        <f t="shared" si="122"/>
        <v>296</v>
      </c>
      <c r="BM45" s="27" t="s">
        <v>34</v>
      </c>
      <c r="BN45" s="27" t="s">
        <v>34</v>
      </c>
      <c r="BO45" s="27" t="s">
        <v>34</v>
      </c>
      <c r="BP45" s="29"/>
    </row>
    <row r="46" spans="1:68" ht="45" customHeight="1" x14ac:dyDescent="0.15">
      <c r="A46" s="27">
        <v>1555</v>
      </c>
      <c r="B46" s="27" t="s">
        <v>752</v>
      </c>
      <c r="C46" s="27" t="s">
        <v>33</v>
      </c>
      <c r="D46" s="27">
        <v>1272</v>
      </c>
      <c r="E46" s="29" t="s">
        <v>34</v>
      </c>
      <c r="F46" s="29" t="s">
        <v>34</v>
      </c>
      <c r="G46" s="29" t="s">
        <v>34</v>
      </c>
      <c r="H46" s="27" t="s">
        <v>1743</v>
      </c>
      <c r="I46" s="27" t="str">
        <f t="shared" ref="I46:J46" si="123">C46</f>
        <v>Tdap</v>
      </c>
      <c r="J46" s="27">
        <f t="shared" si="123"/>
        <v>1272</v>
      </c>
      <c r="K46" s="27">
        <v>233</v>
      </c>
      <c r="L46" s="27" t="s">
        <v>1744</v>
      </c>
      <c r="M46" s="27" t="s">
        <v>1745</v>
      </c>
      <c r="N46" s="27" t="str">
        <f t="shared" ref="N46:P46" si="124">H46</f>
        <v>0–13 weeks’ gestation</v>
      </c>
      <c r="O46" s="27" t="str">
        <f t="shared" si="124"/>
        <v>Tdap</v>
      </c>
      <c r="P46" s="27">
        <f t="shared" si="124"/>
        <v>1272</v>
      </c>
      <c r="Q46" s="29" t="s">
        <v>34</v>
      </c>
      <c r="R46" s="29" t="s">
        <v>34</v>
      </c>
      <c r="S46" s="29" t="s">
        <v>34</v>
      </c>
      <c r="T46" s="27" t="str">
        <f t="shared" ref="T46:V46" si="125">N46</f>
        <v>0–13 weeks’ gestation</v>
      </c>
      <c r="U46" s="27" t="str">
        <f t="shared" si="125"/>
        <v>Tdap</v>
      </c>
      <c r="V46" s="27">
        <f t="shared" si="125"/>
        <v>1272</v>
      </c>
      <c r="W46" s="27">
        <v>60</v>
      </c>
      <c r="X46" s="27" t="s">
        <v>1746</v>
      </c>
      <c r="Y46" s="37" t="s">
        <v>1747</v>
      </c>
      <c r="Z46" s="27" t="str">
        <f t="shared" si="104"/>
        <v>0–13 weeks’ gestation</v>
      </c>
      <c r="AA46" s="27" t="str">
        <f t="shared" ref="AA46:AB46" si="126">U46</f>
        <v>Tdap</v>
      </c>
      <c r="AB46" s="27">
        <f t="shared" si="126"/>
        <v>1272</v>
      </c>
      <c r="AC46" s="27">
        <v>54</v>
      </c>
      <c r="AD46" s="27" t="s">
        <v>1748</v>
      </c>
      <c r="AE46" s="29" t="s">
        <v>34</v>
      </c>
      <c r="AF46" s="27" t="str">
        <f t="shared" ref="AF46:AH46" si="127">Z46</f>
        <v>0–13 weeks’ gestation</v>
      </c>
      <c r="AG46" s="27" t="str">
        <f t="shared" si="127"/>
        <v>Tdap</v>
      </c>
      <c r="AH46" s="27">
        <f t="shared" si="127"/>
        <v>1272</v>
      </c>
      <c r="AI46" s="29" t="s">
        <v>34</v>
      </c>
      <c r="AJ46" s="29" t="s">
        <v>34</v>
      </c>
      <c r="AK46" s="29" t="s">
        <v>34</v>
      </c>
      <c r="AL46" s="27" t="str">
        <f t="shared" ref="AL46:AN46" si="128">AF46</f>
        <v>0–13 weeks’ gestation</v>
      </c>
      <c r="AM46" s="27" t="str">
        <f t="shared" si="128"/>
        <v>Tdap</v>
      </c>
      <c r="AN46" s="27">
        <f t="shared" si="128"/>
        <v>1272</v>
      </c>
      <c r="AO46" s="29" t="s">
        <v>34</v>
      </c>
      <c r="AP46" s="29" t="s">
        <v>34</v>
      </c>
      <c r="AQ46" s="29" t="s">
        <v>34</v>
      </c>
      <c r="AR46" s="27" t="str">
        <f t="shared" ref="AR46:AT46" si="129">AL46</f>
        <v>0–13 weeks’ gestation</v>
      </c>
      <c r="AS46" s="27" t="str">
        <f t="shared" si="129"/>
        <v>Tdap</v>
      </c>
      <c r="AT46" s="27">
        <f t="shared" si="129"/>
        <v>1272</v>
      </c>
      <c r="AU46" s="29" t="s">
        <v>34</v>
      </c>
      <c r="AV46" s="29" t="s">
        <v>34</v>
      </c>
      <c r="AW46" s="29" t="s">
        <v>34</v>
      </c>
      <c r="AX46" s="27" t="str">
        <f t="shared" ref="AX46:AZ46" si="130">AR46</f>
        <v>0–13 weeks’ gestation</v>
      </c>
      <c r="AY46" s="27" t="str">
        <f t="shared" si="130"/>
        <v>Tdap</v>
      </c>
      <c r="AZ46" s="27">
        <f t="shared" si="130"/>
        <v>1272</v>
      </c>
      <c r="BA46" s="29" t="s">
        <v>34</v>
      </c>
      <c r="BB46" s="29" t="s">
        <v>34</v>
      </c>
      <c r="BC46" s="29" t="s">
        <v>34</v>
      </c>
      <c r="BD46" s="27" t="str">
        <f t="shared" ref="BD46:BF46" si="131">AX46</f>
        <v>0–13 weeks’ gestation</v>
      </c>
      <c r="BE46" s="27" t="str">
        <f t="shared" si="131"/>
        <v>Tdap</v>
      </c>
      <c r="BF46" s="27">
        <f t="shared" si="131"/>
        <v>1272</v>
      </c>
      <c r="BG46" s="29" t="s">
        <v>34</v>
      </c>
      <c r="BH46" s="29" t="s">
        <v>34</v>
      </c>
      <c r="BI46" s="29" t="s">
        <v>34</v>
      </c>
      <c r="BJ46" s="27" t="str">
        <f t="shared" ref="BJ46:BL46" si="132">BD46</f>
        <v>0–13 weeks’ gestation</v>
      </c>
      <c r="BK46" s="27" t="str">
        <f t="shared" si="132"/>
        <v>Tdap</v>
      </c>
      <c r="BL46" s="27">
        <f t="shared" si="132"/>
        <v>1272</v>
      </c>
      <c r="BM46" s="29" t="s">
        <v>34</v>
      </c>
      <c r="BN46" s="29" t="s">
        <v>34</v>
      </c>
      <c r="BO46" s="29" t="s">
        <v>34</v>
      </c>
      <c r="BP46" s="27" t="str">
        <f t="shared" ref="BP46:BP48" si="133">BJ46</f>
        <v>0–13 weeks’ gestation</v>
      </c>
    </row>
    <row r="47" spans="1:68" ht="45" customHeight="1" x14ac:dyDescent="0.15">
      <c r="A47" s="27">
        <v>1555</v>
      </c>
      <c r="B47" s="27" t="s">
        <v>752</v>
      </c>
      <c r="C47" s="27" t="s">
        <v>33</v>
      </c>
      <c r="D47" s="27">
        <v>9438</v>
      </c>
      <c r="E47" s="29" t="s">
        <v>34</v>
      </c>
      <c r="F47" s="29" t="s">
        <v>34</v>
      </c>
      <c r="G47" s="29" t="s">
        <v>34</v>
      </c>
      <c r="H47" s="27" t="s">
        <v>629</v>
      </c>
      <c r="I47" s="27" t="str">
        <f t="shared" ref="I47:J47" si="134">C47</f>
        <v>Tdap</v>
      </c>
      <c r="J47" s="27">
        <f t="shared" si="134"/>
        <v>9438</v>
      </c>
      <c r="K47" s="29" t="s">
        <v>34</v>
      </c>
      <c r="L47" s="29" t="s">
        <v>34</v>
      </c>
      <c r="M47" s="29" t="s">
        <v>34</v>
      </c>
      <c r="N47" s="27" t="str">
        <f t="shared" ref="N47:P47" si="135">H47</f>
        <v>27–36 weeks’ gestation</v>
      </c>
      <c r="O47" s="27" t="str">
        <f t="shared" si="135"/>
        <v>Tdap</v>
      </c>
      <c r="P47" s="27">
        <f t="shared" si="135"/>
        <v>9438</v>
      </c>
      <c r="Q47" s="29" t="s">
        <v>34</v>
      </c>
      <c r="R47" s="29" t="s">
        <v>34</v>
      </c>
      <c r="S47" s="29" t="s">
        <v>34</v>
      </c>
      <c r="T47" s="27" t="str">
        <f t="shared" ref="T47:V47" si="136">N47</f>
        <v>27–36 weeks’ gestation</v>
      </c>
      <c r="U47" s="27" t="str">
        <f t="shared" si="136"/>
        <v>Tdap</v>
      </c>
      <c r="V47" s="27">
        <f t="shared" si="136"/>
        <v>9438</v>
      </c>
      <c r="W47" s="27">
        <v>569</v>
      </c>
      <c r="X47" s="27" t="s">
        <v>1749</v>
      </c>
      <c r="Y47" s="29"/>
      <c r="Z47" s="27" t="str">
        <f t="shared" si="104"/>
        <v>27–36 weeks’ gestation</v>
      </c>
      <c r="AA47" s="27" t="str">
        <f t="shared" ref="AA47:AB47" si="137">U47</f>
        <v>Tdap</v>
      </c>
      <c r="AB47" s="27">
        <f t="shared" si="137"/>
        <v>9438</v>
      </c>
      <c r="AC47" s="27">
        <v>494</v>
      </c>
      <c r="AD47" s="27" t="s">
        <v>1750</v>
      </c>
      <c r="AE47" s="29" t="s">
        <v>34</v>
      </c>
      <c r="AF47" s="27" t="str">
        <f t="shared" ref="AF47:AH47" si="138">Z47</f>
        <v>27–36 weeks’ gestation</v>
      </c>
      <c r="AG47" s="27" t="str">
        <f t="shared" si="138"/>
        <v>Tdap</v>
      </c>
      <c r="AH47" s="27">
        <f t="shared" si="138"/>
        <v>9438</v>
      </c>
      <c r="AI47" s="29" t="s">
        <v>34</v>
      </c>
      <c r="AJ47" s="29" t="s">
        <v>34</v>
      </c>
      <c r="AK47" s="29" t="s">
        <v>34</v>
      </c>
      <c r="AL47" s="27" t="str">
        <f t="shared" ref="AL47:AN47" si="139">AF47</f>
        <v>27–36 weeks’ gestation</v>
      </c>
      <c r="AM47" s="27" t="str">
        <f t="shared" si="139"/>
        <v>Tdap</v>
      </c>
      <c r="AN47" s="27">
        <f t="shared" si="139"/>
        <v>9438</v>
      </c>
      <c r="AO47" s="29" t="s">
        <v>34</v>
      </c>
      <c r="AP47" s="29" t="s">
        <v>34</v>
      </c>
      <c r="AQ47" s="29" t="s">
        <v>34</v>
      </c>
      <c r="AR47" s="27" t="str">
        <f t="shared" ref="AR47:AT47" si="140">AL47</f>
        <v>27–36 weeks’ gestation</v>
      </c>
      <c r="AS47" s="27" t="str">
        <f t="shared" si="140"/>
        <v>Tdap</v>
      </c>
      <c r="AT47" s="27">
        <f t="shared" si="140"/>
        <v>9438</v>
      </c>
      <c r="AU47" s="29" t="s">
        <v>34</v>
      </c>
      <c r="AV47" s="29" t="s">
        <v>34</v>
      </c>
      <c r="AW47" s="29" t="s">
        <v>34</v>
      </c>
      <c r="AX47" s="27" t="str">
        <f t="shared" ref="AX47:AZ47" si="141">AR47</f>
        <v>27–36 weeks’ gestation</v>
      </c>
      <c r="AY47" s="27" t="str">
        <f t="shared" si="141"/>
        <v>Tdap</v>
      </c>
      <c r="AZ47" s="27">
        <f t="shared" si="141"/>
        <v>9438</v>
      </c>
      <c r="BA47" s="29" t="s">
        <v>34</v>
      </c>
      <c r="BB47" s="29" t="s">
        <v>34</v>
      </c>
      <c r="BC47" s="29" t="s">
        <v>34</v>
      </c>
      <c r="BD47" s="27" t="str">
        <f t="shared" ref="BD47:BF47" si="142">AX47</f>
        <v>27–36 weeks’ gestation</v>
      </c>
      <c r="BE47" s="27" t="str">
        <f t="shared" si="142"/>
        <v>Tdap</v>
      </c>
      <c r="BF47" s="27">
        <f t="shared" si="142"/>
        <v>9438</v>
      </c>
      <c r="BG47" s="29" t="s">
        <v>34</v>
      </c>
      <c r="BH47" s="29" t="s">
        <v>34</v>
      </c>
      <c r="BI47" s="29" t="s">
        <v>34</v>
      </c>
      <c r="BJ47" s="27" t="str">
        <f t="shared" ref="BJ47:BL47" si="143">BD47</f>
        <v>27–36 weeks’ gestation</v>
      </c>
      <c r="BK47" s="27" t="str">
        <f t="shared" si="143"/>
        <v>Tdap</v>
      </c>
      <c r="BL47" s="27">
        <f t="shared" si="143"/>
        <v>9438</v>
      </c>
      <c r="BM47" s="29" t="s">
        <v>34</v>
      </c>
      <c r="BN47" s="29" t="s">
        <v>34</v>
      </c>
      <c r="BO47" s="29" t="s">
        <v>34</v>
      </c>
      <c r="BP47" s="27" t="str">
        <f t="shared" si="133"/>
        <v>27–36 weeks’ gestation</v>
      </c>
    </row>
    <row r="48" spans="1:68" ht="45" customHeight="1" x14ac:dyDescent="0.15">
      <c r="A48" s="27">
        <v>1555</v>
      </c>
      <c r="B48" s="27" t="s">
        <v>752</v>
      </c>
      <c r="C48" s="27" t="s">
        <v>33</v>
      </c>
      <c r="D48" s="27">
        <f>D46+D47</f>
        <v>10710</v>
      </c>
      <c r="E48" s="29" t="s">
        <v>34</v>
      </c>
      <c r="F48" s="29" t="s">
        <v>34</v>
      </c>
      <c r="G48" s="29" t="s">
        <v>34</v>
      </c>
      <c r="H48" s="27" t="s">
        <v>1751</v>
      </c>
      <c r="I48" s="27" t="str">
        <f t="shared" ref="I48:J48" si="144">C48</f>
        <v>Tdap</v>
      </c>
      <c r="J48" s="27">
        <f t="shared" si="144"/>
        <v>10710</v>
      </c>
      <c r="K48" s="29" t="s">
        <v>34</v>
      </c>
      <c r="L48" s="29" t="s">
        <v>34</v>
      </c>
      <c r="M48" s="29" t="s">
        <v>34</v>
      </c>
      <c r="N48" s="27" t="str">
        <f t="shared" ref="N48:P48" si="145">H48</f>
        <v>0–13 weeks’ gestation
+
27–36 weeks’ gestation</v>
      </c>
      <c r="O48" s="27" t="str">
        <f t="shared" si="145"/>
        <v>Tdap</v>
      </c>
      <c r="P48" s="27">
        <f t="shared" si="145"/>
        <v>10710</v>
      </c>
      <c r="Q48" s="29" t="s">
        <v>34</v>
      </c>
      <c r="R48" s="29" t="s">
        <v>34</v>
      </c>
      <c r="S48" s="29" t="s">
        <v>34</v>
      </c>
      <c r="T48" s="27" t="str">
        <f t="shared" ref="T48:V48" si="146">N48</f>
        <v>0–13 weeks’ gestation
+
27–36 weeks’ gestation</v>
      </c>
      <c r="U48" s="27" t="str">
        <f t="shared" si="146"/>
        <v>Tdap</v>
      </c>
      <c r="V48" s="27">
        <f t="shared" si="146"/>
        <v>10710</v>
      </c>
      <c r="W48" s="27">
        <f>W46+W47</f>
        <v>629</v>
      </c>
      <c r="X48" s="29"/>
      <c r="Y48" s="29"/>
      <c r="Z48" s="27" t="str">
        <f t="shared" si="104"/>
        <v>0–13 weeks’ gestation
+
27–36 weeks’ gestation</v>
      </c>
      <c r="AA48" s="27" t="str">
        <f t="shared" ref="AA48:AB48" si="147">U48</f>
        <v>Tdap</v>
      </c>
      <c r="AB48" s="27">
        <f t="shared" si="147"/>
        <v>10710</v>
      </c>
      <c r="AC48" s="27">
        <f>AC46+AC47</f>
        <v>548</v>
      </c>
      <c r="AD48" s="29" t="s">
        <v>34</v>
      </c>
      <c r="AE48" s="29" t="s">
        <v>34</v>
      </c>
      <c r="AF48" s="27" t="str">
        <f t="shared" ref="AF48:AH48" si="148">Z48</f>
        <v>0–13 weeks’ gestation
+
27–36 weeks’ gestation</v>
      </c>
      <c r="AG48" s="27" t="str">
        <f t="shared" si="148"/>
        <v>Tdap</v>
      </c>
      <c r="AH48" s="27">
        <f t="shared" si="148"/>
        <v>10710</v>
      </c>
      <c r="AI48" s="29" t="s">
        <v>34</v>
      </c>
      <c r="AJ48" s="29" t="s">
        <v>34</v>
      </c>
      <c r="AK48" s="29" t="s">
        <v>34</v>
      </c>
      <c r="AL48" s="27" t="str">
        <f t="shared" ref="AL48:AN48" si="149">AF48</f>
        <v>0–13 weeks’ gestation
+
27–36 weeks’ gestation</v>
      </c>
      <c r="AM48" s="27" t="str">
        <f t="shared" si="149"/>
        <v>Tdap</v>
      </c>
      <c r="AN48" s="27">
        <f t="shared" si="149"/>
        <v>10710</v>
      </c>
      <c r="AO48" s="29" t="s">
        <v>34</v>
      </c>
      <c r="AP48" s="29" t="s">
        <v>34</v>
      </c>
      <c r="AQ48" s="29" t="s">
        <v>34</v>
      </c>
      <c r="AR48" s="27" t="str">
        <f t="shared" ref="AR48:AT48" si="150">AL48</f>
        <v>0–13 weeks’ gestation
+
27–36 weeks’ gestation</v>
      </c>
      <c r="AS48" s="27" t="str">
        <f t="shared" si="150"/>
        <v>Tdap</v>
      </c>
      <c r="AT48" s="27">
        <f t="shared" si="150"/>
        <v>10710</v>
      </c>
      <c r="AU48" s="29" t="s">
        <v>34</v>
      </c>
      <c r="AV48" s="29" t="s">
        <v>34</v>
      </c>
      <c r="AW48" s="29" t="s">
        <v>34</v>
      </c>
      <c r="AX48" s="27" t="str">
        <f t="shared" ref="AX48:AZ48" si="151">AR48</f>
        <v>0–13 weeks’ gestation
+
27–36 weeks’ gestation</v>
      </c>
      <c r="AY48" s="27" t="str">
        <f t="shared" si="151"/>
        <v>Tdap</v>
      </c>
      <c r="AZ48" s="27">
        <f t="shared" si="151"/>
        <v>10710</v>
      </c>
      <c r="BA48" s="27">
        <v>549</v>
      </c>
      <c r="BB48" s="27" t="s">
        <v>34</v>
      </c>
      <c r="BC48" s="29" t="s">
        <v>1752</v>
      </c>
      <c r="BD48" s="27" t="str">
        <f t="shared" ref="BD48:BF48" si="152">AX48</f>
        <v>0–13 weeks’ gestation
+
27–36 weeks’ gestation</v>
      </c>
      <c r="BE48" s="27" t="str">
        <f t="shared" si="152"/>
        <v>Tdap</v>
      </c>
      <c r="BF48" s="27">
        <f t="shared" si="152"/>
        <v>10710</v>
      </c>
      <c r="BG48" s="29" t="s">
        <v>34</v>
      </c>
      <c r="BH48" s="29" t="s">
        <v>34</v>
      </c>
      <c r="BI48" s="29" t="s">
        <v>34</v>
      </c>
      <c r="BJ48" s="27" t="str">
        <f t="shared" ref="BJ48:BL48" si="153">BD48</f>
        <v>0–13 weeks’ gestation
+
27–36 weeks’ gestation</v>
      </c>
      <c r="BK48" s="27" t="str">
        <f t="shared" si="153"/>
        <v>Tdap</v>
      </c>
      <c r="BL48" s="27">
        <f t="shared" si="153"/>
        <v>10710</v>
      </c>
      <c r="BM48" s="27" t="s">
        <v>1753</v>
      </c>
      <c r="BN48" s="29" t="s">
        <v>34</v>
      </c>
      <c r="BO48" s="27" t="s">
        <v>1754</v>
      </c>
      <c r="BP48" s="27" t="str">
        <f t="shared" si="133"/>
        <v>0–13 weeks’ gestation
+
27–36 weeks’ gestation</v>
      </c>
    </row>
    <row r="49" spans="1:68" ht="45" customHeight="1" x14ac:dyDescent="0.15">
      <c r="A49" s="27">
        <v>1555</v>
      </c>
      <c r="B49" s="27" t="s">
        <v>752</v>
      </c>
      <c r="C49" s="27" t="s">
        <v>46</v>
      </c>
      <c r="D49" s="27">
        <v>131450</v>
      </c>
      <c r="E49" s="29" t="s">
        <v>34</v>
      </c>
      <c r="F49" s="29" t="s">
        <v>34</v>
      </c>
      <c r="G49" s="29" t="s">
        <v>34</v>
      </c>
      <c r="H49" s="29"/>
      <c r="I49" s="27" t="str">
        <f t="shared" ref="I49:J49" si="154">C49</f>
        <v>No Tdap</v>
      </c>
      <c r="J49" s="27">
        <f t="shared" si="154"/>
        <v>131450</v>
      </c>
      <c r="K49" s="27">
        <v>22931</v>
      </c>
      <c r="L49" s="29" t="s">
        <v>55</v>
      </c>
      <c r="M49" s="27" t="s">
        <v>1745</v>
      </c>
      <c r="N49" s="29"/>
      <c r="O49" s="27" t="str">
        <f t="shared" ref="O49:P49" si="155">I49</f>
        <v>No Tdap</v>
      </c>
      <c r="P49" s="27">
        <f t="shared" si="155"/>
        <v>131450</v>
      </c>
      <c r="Q49" s="29" t="s">
        <v>34</v>
      </c>
      <c r="R49" s="29" t="s">
        <v>34</v>
      </c>
      <c r="S49" s="29" t="s">
        <v>34</v>
      </c>
      <c r="T49" s="29"/>
      <c r="U49" s="27" t="str">
        <f t="shared" ref="U49:V49" si="156">O49</f>
        <v>No Tdap</v>
      </c>
      <c r="V49" s="27">
        <f t="shared" si="156"/>
        <v>131450</v>
      </c>
      <c r="W49" s="27">
        <v>8421</v>
      </c>
      <c r="X49" s="29"/>
      <c r="Y49" s="29"/>
      <c r="Z49" s="29"/>
      <c r="AA49" s="27" t="str">
        <f t="shared" ref="AA49:AB49" si="157">U49</f>
        <v>No Tdap</v>
      </c>
      <c r="AB49" s="27">
        <f t="shared" si="157"/>
        <v>131450</v>
      </c>
      <c r="AC49" s="27">
        <f>5949+5963</f>
        <v>11912</v>
      </c>
      <c r="AD49" s="29" t="s">
        <v>34</v>
      </c>
      <c r="AE49" s="29" t="s">
        <v>34</v>
      </c>
      <c r="AF49" s="29"/>
      <c r="AG49" s="27" t="str">
        <f t="shared" ref="AG49:AH49" si="158">AA49</f>
        <v>No Tdap</v>
      </c>
      <c r="AH49" s="27">
        <f t="shared" si="158"/>
        <v>131450</v>
      </c>
      <c r="AI49" s="29" t="s">
        <v>34</v>
      </c>
      <c r="AJ49" s="29" t="s">
        <v>34</v>
      </c>
      <c r="AK49" s="29" t="s">
        <v>34</v>
      </c>
      <c r="AL49" s="29"/>
      <c r="AM49" s="27" t="str">
        <f t="shared" ref="AM49:AN49" si="159">AG49</f>
        <v>No Tdap</v>
      </c>
      <c r="AN49" s="27">
        <f t="shared" si="159"/>
        <v>131450</v>
      </c>
      <c r="AO49" s="29" t="s">
        <v>34</v>
      </c>
      <c r="AP49" s="29" t="s">
        <v>34</v>
      </c>
      <c r="AQ49" s="29" t="s">
        <v>34</v>
      </c>
      <c r="AR49" s="29"/>
      <c r="AS49" s="27" t="str">
        <f t="shared" ref="AS49:AT49" si="160">AM49</f>
        <v>No Tdap</v>
      </c>
      <c r="AT49" s="27">
        <f t="shared" si="160"/>
        <v>131450</v>
      </c>
      <c r="AU49" s="29" t="s">
        <v>34</v>
      </c>
      <c r="AV49" s="29" t="s">
        <v>34</v>
      </c>
      <c r="AW49" s="29" t="s">
        <v>34</v>
      </c>
      <c r="AX49" s="29"/>
      <c r="AY49" s="27" t="str">
        <f t="shared" ref="AY49:AZ49" si="161">AS49</f>
        <v>No Tdap</v>
      </c>
      <c r="AZ49" s="27">
        <f t="shared" si="161"/>
        <v>131450</v>
      </c>
      <c r="BA49" s="27">
        <v>16350</v>
      </c>
      <c r="BB49" s="27" t="s">
        <v>34</v>
      </c>
      <c r="BC49" s="29" t="s">
        <v>1752</v>
      </c>
      <c r="BD49" s="29"/>
      <c r="BE49" s="27" t="str">
        <f t="shared" ref="BE49:BF49" si="162">AY49</f>
        <v>No Tdap</v>
      </c>
      <c r="BF49" s="27">
        <f t="shared" si="162"/>
        <v>131450</v>
      </c>
      <c r="BG49" s="29" t="s">
        <v>34</v>
      </c>
      <c r="BH49" s="29" t="s">
        <v>34</v>
      </c>
      <c r="BI49" s="29" t="s">
        <v>34</v>
      </c>
      <c r="BJ49" s="29"/>
      <c r="BK49" s="27" t="str">
        <f t="shared" ref="BK49:BL49" si="163">BE49</f>
        <v>No Tdap</v>
      </c>
      <c r="BL49" s="27">
        <f t="shared" si="163"/>
        <v>131450</v>
      </c>
      <c r="BM49" s="27" t="s">
        <v>1755</v>
      </c>
      <c r="BN49" s="29" t="s">
        <v>34</v>
      </c>
      <c r="BO49" s="27" t="s">
        <v>1754</v>
      </c>
      <c r="BP49" s="29"/>
    </row>
    <row r="50" spans="1:68" ht="21.75" customHeight="1" x14ac:dyDescent="0.15">
      <c r="A50" s="34">
        <v>1485</v>
      </c>
      <c r="B50" s="36" t="s">
        <v>785</v>
      </c>
      <c r="C50" s="27" t="s">
        <v>33</v>
      </c>
      <c r="D50" s="28">
        <v>103254</v>
      </c>
      <c r="E50" s="27" t="s">
        <v>34</v>
      </c>
      <c r="F50" s="27" t="s">
        <v>34</v>
      </c>
      <c r="G50" s="27" t="s">
        <v>34</v>
      </c>
      <c r="H50" s="29"/>
      <c r="I50" s="27" t="str">
        <f t="shared" ref="I50:J50" si="164">C50</f>
        <v>Tdap</v>
      </c>
      <c r="J50" s="28">
        <f t="shared" si="164"/>
        <v>103254</v>
      </c>
      <c r="K50" s="27" t="s">
        <v>34</v>
      </c>
      <c r="L50" s="27" t="s">
        <v>34</v>
      </c>
      <c r="M50" s="27" t="s">
        <v>34</v>
      </c>
      <c r="N50" s="29"/>
      <c r="O50" s="27" t="str">
        <f t="shared" ref="O50:P50" si="165">I50</f>
        <v>Tdap</v>
      </c>
      <c r="P50" s="28">
        <f t="shared" si="165"/>
        <v>103254</v>
      </c>
      <c r="Q50" s="27" t="s">
        <v>34</v>
      </c>
      <c r="R50" s="27" t="s">
        <v>34</v>
      </c>
      <c r="S50" s="27" t="s">
        <v>34</v>
      </c>
      <c r="T50" s="29"/>
      <c r="U50" s="27" t="str">
        <f t="shared" ref="U50:V50" si="166">O50</f>
        <v>Tdap</v>
      </c>
      <c r="V50" s="28">
        <f t="shared" si="166"/>
        <v>103254</v>
      </c>
      <c r="W50" s="27">
        <v>6087</v>
      </c>
      <c r="X50" s="27" t="s">
        <v>1756</v>
      </c>
      <c r="Y50" s="27" t="s">
        <v>1757</v>
      </c>
      <c r="Z50" s="27" t="s">
        <v>1758</v>
      </c>
      <c r="AA50" s="27" t="str">
        <f t="shared" ref="AA50:AB50" si="167">U50</f>
        <v>Tdap</v>
      </c>
      <c r="AB50" s="28">
        <f t="shared" si="167"/>
        <v>103254</v>
      </c>
      <c r="AC50" s="27" t="s">
        <v>34</v>
      </c>
      <c r="AD50" s="27" t="s">
        <v>34</v>
      </c>
      <c r="AE50" s="27" t="s">
        <v>34</v>
      </c>
      <c r="AF50" s="27"/>
      <c r="AG50" s="27" t="str">
        <f t="shared" ref="AG50:AH50" si="168">AA50</f>
        <v>Tdap</v>
      </c>
      <c r="AH50" s="28">
        <f t="shared" si="168"/>
        <v>103254</v>
      </c>
      <c r="AI50" s="27">
        <v>7244</v>
      </c>
      <c r="AJ50" s="27" t="s">
        <v>1759</v>
      </c>
      <c r="AK50" s="27" t="s">
        <v>1760</v>
      </c>
      <c r="AL50" s="27" t="s">
        <v>1758</v>
      </c>
      <c r="AM50" s="27" t="str">
        <f t="shared" ref="AM50:AN50" si="169">AG50</f>
        <v>Tdap</v>
      </c>
      <c r="AN50" s="28">
        <f t="shared" si="169"/>
        <v>103254</v>
      </c>
      <c r="AO50" s="27" t="s">
        <v>34</v>
      </c>
      <c r="AP50" s="27" t="s">
        <v>34</v>
      </c>
      <c r="AQ50" s="27" t="s">
        <v>34</v>
      </c>
      <c r="AR50" s="29"/>
      <c r="AS50" s="27" t="str">
        <f t="shared" ref="AS50:AT50" si="170">AM50</f>
        <v>Tdap</v>
      </c>
      <c r="AT50" s="28">
        <f t="shared" si="170"/>
        <v>103254</v>
      </c>
      <c r="AU50" s="27" t="s">
        <v>34</v>
      </c>
      <c r="AV50" s="27" t="s">
        <v>34</v>
      </c>
      <c r="AW50" s="27" t="s">
        <v>34</v>
      </c>
      <c r="AX50" s="27"/>
      <c r="AY50" s="27" t="str">
        <f t="shared" ref="AY50:AZ50" si="171">AS50</f>
        <v>Tdap</v>
      </c>
      <c r="AZ50" s="28">
        <f t="shared" si="171"/>
        <v>103254</v>
      </c>
      <c r="BA50" s="27" t="s">
        <v>34</v>
      </c>
      <c r="BB50" s="27" t="s">
        <v>34</v>
      </c>
      <c r="BC50" s="27" t="s">
        <v>34</v>
      </c>
      <c r="BD50" s="29"/>
      <c r="BE50" s="27" t="str">
        <f t="shared" ref="BE50:BF50" si="172">AY50</f>
        <v>Tdap</v>
      </c>
      <c r="BF50" s="28">
        <f t="shared" si="172"/>
        <v>103254</v>
      </c>
      <c r="BG50" s="27" t="s">
        <v>34</v>
      </c>
      <c r="BH50" s="27" t="s">
        <v>34</v>
      </c>
      <c r="BI50" s="27" t="s">
        <v>34</v>
      </c>
      <c r="BJ50" s="29"/>
      <c r="BK50" s="27" t="str">
        <f t="shared" ref="BK50:BL50" si="173">BE50</f>
        <v>Tdap</v>
      </c>
      <c r="BL50" s="28">
        <f t="shared" si="173"/>
        <v>103254</v>
      </c>
      <c r="BM50" s="27" t="s">
        <v>34</v>
      </c>
      <c r="BN50" s="27" t="s">
        <v>34</v>
      </c>
      <c r="BO50" s="27" t="s">
        <v>34</v>
      </c>
      <c r="BP50" s="29"/>
    </row>
    <row r="51" spans="1:68" ht="21.75" customHeight="1" x14ac:dyDescent="0.15">
      <c r="A51" s="34">
        <v>1485</v>
      </c>
      <c r="B51" s="36" t="s">
        <v>785</v>
      </c>
      <c r="C51" s="27" t="s">
        <v>46</v>
      </c>
      <c r="D51" s="28">
        <v>14957</v>
      </c>
      <c r="E51" s="27" t="s">
        <v>34</v>
      </c>
      <c r="F51" s="27" t="s">
        <v>34</v>
      </c>
      <c r="G51" s="27" t="s">
        <v>34</v>
      </c>
      <c r="H51" s="29"/>
      <c r="I51" s="27" t="str">
        <f t="shared" ref="I51:J51" si="174">C51</f>
        <v>No Tdap</v>
      </c>
      <c r="J51" s="28">
        <f t="shared" si="174"/>
        <v>14957</v>
      </c>
      <c r="K51" s="27" t="s">
        <v>34</v>
      </c>
      <c r="L51" s="27" t="s">
        <v>34</v>
      </c>
      <c r="M51" s="27" t="s">
        <v>34</v>
      </c>
      <c r="N51" s="29"/>
      <c r="O51" s="27" t="str">
        <f t="shared" ref="O51:P51" si="175">I51</f>
        <v>No Tdap</v>
      </c>
      <c r="P51" s="28">
        <f t="shared" si="175"/>
        <v>14957</v>
      </c>
      <c r="Q51" s="27" t="s">
        <v>34</v>
      </c>
      <c r="R51" s="27" t="s">
        <v>34</v>
      </c>
      <c r="S51" s="27" t="s">
        <v>34</v>
      </c>
      <c r="T51" s="29"/>
      <c r="U51" s="27" t="str">
        <f t="shared" ref="U51:V51" si="176">O51</f>
        <v>No Tdap</v>
      </c>
      <c r="V51" s="28">
        <f t="shared" si="176"/>
        <v>14957</v>
      </c>
      <c r="W51" s="27">
        <v>1885</v>
      </c>
      <c r="X51" s="29"/>
      <c r="Y51" s="29"/>
      <c r="Z51" s="29"/>
      <c r="AA51" s="27" t="str">
        <f t="shared" ref="AA51:AB51" si="177">U51</f>
        <v>No Tdap</v>
      </c>
      <c r="AB51" s="28">
        <f t="shared" si="177"/>
        <v>14957</v>
      </c>
      <c r="AC51" s="27" t="s">
        <v>34</v>
      </c>
      <c r="AD51" s="27" t="s">
        <v>34</v>
      </c>
      <c r="AE51" s="27" t="s">
        <v>34</v>
      </c>
      <c r="AF51" s="29"/>
      <c r="AG51" s="27" t="str">
        <f t="shared" ref="AG51:AH51" si="178">AA51</f>
        <v>No Tdap</v>
      </c>
      <c r="AH51" s="28">
        <f t="shared" si="178"/>
        <v>14957</v>
      </c>
      <c r="AI51" s="27">
        <v>854</v>
      </c>
      <c r="AJ51" s="29"/>
      <c r="AK51" s="29"/>
      <c r="AL51" s="29"/>
      <c r="AM51" s="27" t="str">
        <f t="shared" ref="AM51:AN51" si="179">AG51</f>
        <v>No Tdap</v>
      </c>
      <c r="AN51" s="28">
        <f t="shared" si="179"/>
        <v>14957</v>
      </c>
      <c r="AO51" s="27" t="s">
        <v>34</v>
      </c>
      <c r="AP51" s="27" t="s">
        <v>34</v>
      </c>
      <c r="AQ51" s="27" t="s">
        <v>34</v>
      </c>
      <c r="AR51" s="29"/>
      <c r="AS51" s="27" t="str">
        <f t="shared" ref="AS51:AT51" si="180">AM51</f>
        <v>No Tdap</v>
      </c>
      <c r="AT51" s="28">
        <f t="shared" si="180"/>
        <v>14957</v>
      </c>
      <c r="AU51" s="27" t="s">
        <v>34</v>
      </c>
      <c r="AV51" s="27" t="s">
        <v>34</v>
      </c>
      <c r="AW51" s="27" t="s">
        <v>34</v>
      </c>
      <c r="AX51" s="29"/>
      <c r="AY51" s="27" t="str">
        <f t="shared" ref="AY51:AZ51" si="181">AS51</f>
        <v>No Tdap</v>
      </c>
      <c r="AZ51" s="28">
        <f t="shared" si="181"/>
        <v>14957</v>
      </c>
      <c r="BA51" s="27" t="s">
        <v>34</v>
      </c>
      <c r="BB51" s="27" t="s">
        <v>34</v>
      </c>
      <c r="BC51" s="27" t="s">
        <v>34</v>
      </c>
      <c r="BD51" s="29"/>
      <c r="BE51" s="27" t="str">
        <f t="shared" ref="BE51:BF51" si="182">AY51</f>
        <v>No Tdap</v>
      </c>
      <c r="BF51" s="28">
        <f t="shared" si="182"/>
        <v>14957</v>
      </c>
      <c r="BG51" s="27" t="s">
        <v>34</v>
      </c>
      <c r="BH51" s="27" t="s">
        <v>34</v>
      </c>
      <c r="BI51" s="27" t="s">
        <v>34</v>
      </c>
      <c r="BJ51" s="29"/>
      <c r="BK51" s="27" t="str">
        <f t="shared" ref="BK51:BL51" si="183">BE51</f>
        <v>No Tdap</v>
      </c>
      <c r="BL51" s="28">
        <f t="shared" si="183"/>
        <v>14957</v>
      </c>
      <c r="BM51" s="27" t="s">
        <v>34</v>
      </c>
      <c r="BN51" s="27" t="s">
        <v>34</v>
      </c>
      <c r="BO51" s="27" t="s">
        <v>34</v>
      </c>
      <c r="BP51" s="29"/>
    </row>
    <row r="52" spans="1:68" ht="69" customHeight="1" x14ac:dyDescent="0.15">
      <c r="A52" s="27">
        <v>2884</v>
      </c>
      <c r="B52" s="27" t="s">
        <v>848</v>
      </c>
      <c r="C52" s="27" t="s">
        <v>861</v>
      </c>
      <c r="D52" s="27">
        <v>40</v>
      </c>
      <c r="E52" s="27" t="s">
        <v>34</v>
      </c>
      <c r="F52" s="27" t="s">
        <v>34</v>
      </c>
      <c r="G52" s="27" t="s">
        <v>34</v>
      </c>
      <c r="H52" s="29"/>
      <c r="I52" s="27" t="s">
        <v>861</v>
      </c>
      <c r="J52" s="27">
        <v>40</v>
      </c>
      <c r="K52" s="27" t="s">
        <v>34</v>
      </c>
      <c r="L52" s="27" t="s">
        <v>34</v>
      </c>
      <c r="M52" s="27" t="s">
        <v>34</v>
      </c>
      <c r="N52" s="29"/>
      <c r="O52" s="27" t="s">
        <v>861</v>
      </c>
      <c r="P52" s="27">
        <v>40</v>
      </c>
      <c r="Q52" s="27">
        <v>0</v>
      </c>
      <c r="R52" s="27" t="s">
        <v>34</v>
      </c>
      <c r="S52" s="27" t="s">
        <v>34</v>
      </c>
      <c r="T52" s="29" t="s">
        <v>1761</v>
      </c>
      <c r="U52" s="27" t="s">
        <v>861</v>
      </c>
      <c r="V52" s="27">
        <v>40</v>
      </c>
      <c r="W52" s="27">
        <v>2</v>
      </c>
      <c r="X52" s="27" t="s">
        <v>34</v>
      </c>
      <c r="Y52" s="27" t="s">
        <v>1762</v>
      </c>
      <c r="Z52" s="29" t="s">
        <v>1761</v>
      </c>
      <c r="AA52" s="27" t="s">
        <v>861</v>
      </c>
      <c r="AB52" s="27">
        <v>40</v>
      </c>
      <c r="AC52" s="27" t="s">
        <v>34</v>
      </c>
      <c r="AD52" s="27" t="s">
        <v>34</v>
      </c>
      <c r="AE52" s="27" t="s">
        <v>34</v>
      </c>
      <c r="AF52" s="29"/>
      <c r="AG52" s="27" t="s">
        <v>861</v>
      </c>
      <c r="AH52" s="27">
        <v>40</v>
      </c>
      <c r="AI52" s="27" t="s">
        <v>34</v>
      </c>
      <c r="AJ52" s="27" t="s">
        <v>34</v>
      </c>
      <c r="AK52" s="27" t="s">
        <v>34</v>
      </c>
      <c r="AL52" s="29"/>
      <c r="AM52" s="27" t="s">
        <v>861</v>
      </c>
      <c r="AN52" s="27">
        <v>40</v>
      </c>
      <c r="AO52" s="27" t="s">
        <v>34</v>
      </c>
      <c r="AP52" s="27" t="s">
        <v>34</v>
      </c>
      <c r="AQ52" s="27" t="s">
        <v>34</v>
      </c>
      <c r="AR52" s="29"/>
      <c r="AS52" s="27" t="s">
        <v>861</v>
      </c>
      <c r="AT52" s="27">
        <v>40</v>
      </c>
      <c r="AU52" s="27" t="s">
        <v>34</v>
      </c>
      <c r="AV52" s="27" t="s">
        <v>34</v>
      </c>
      <c r="AW52" s="27" t="s">
        <v>34</v>
      </c>
      <c r="AX52" s="29"/>
      <c r="AY52" s="27" t="s">
        <v>861</v>
      </c>
      <c r="AZ52" s="27">
        <v>40</v>
      </c>
      <c r="BA52" s="27" t="s">
        <v>34</v>
      </c>
      <c r="BB52" s="27" t="s">
        <v>34</v>
      </c>
      <c r="BC52" s="27" t="s">
        <v>34</v>
      </c>
      <c r="BD52" s="29"/>
      <c r="BE52" s="27" t="s">
        <v>861</v>
      </c>
      <c r="BF52" s="27">
        <v>40</v>
      </c>
      <c r="BG52" s="27">
        <v>4</v>
      </c>
      <c r="BH52" s="27" t="s">
        <v>34</v>
      </c>
      <c r="BI52" s="27" t="s">
        <v>34</v>
      </c>
      <c r="BJ52" s="29" t="s">
        <v>1763</v>
      </c>
      <c r="BK52" s="27" t="s">
        <v>861</v>
      </c>
      <c r="BL52" s="27">
        <v>40</v>
      </c>
      <c r="BM52" s="27">
        <v>53</v>
      </c>
      <c r="BN52" s="27" t="s">
        <v>34</v>
      </c>
      <c r="BO52" s="27" t="s">
        <v>1764</v>
      </c>
      <c r="BP52" s="29" t="s">
        <v>1763</v>
      </c>
    </row>
    <row r="53" spans="1:68" ht="15.75" customHeight="1" x14ac:dyDescent="0.15">
      <c r="A53" s="27">
        <v>2884</v>
      </c>
      <c r="B53" s="27" t="s">
        <v>848</v>
      </c>
      <c r="C53" s="27" t="s">
        <v>867</v>
      </c>
      <c r="D53" s="27">
        <v>50</v>
      </c>
      <c r="E53" s="27" t="s">
        <v>34</v>
      </c>
      <c r="F53" s="27" t="s">
        <v>34</v>
      </c>
      <c r="G53" s="27" t="s">
        <v>34</v>
      </c>
      <c r="H53" s="29"/>
      <c r="I53" s="27" t="s">
        <v>867</v>
      </c>
      <c r="J53" s="27">
        <v>50</v>
      </c>
      <c r="K53" s="27" t="s">
        <v>34</v>
      </c>
      <c r="L53" s="27" t="s">
        <v>34</v>
      </c>
      <c r="M53" s="27" t="s">
        <v>34</v>
      </c>
      <c r="N53" s="29"/>
      <c r="O53" s="27" t="s">
        <v>867</v>
      </c>
      <c r="P53" s="27">
        <v>50</v>
      </c>
      <c r="Q53" s="27">
        <v>4</v>
      </c>
      <c r="R53" s="27" t="s">
        <v>34</v>
      </c>
      <c r="S53" s="27" t="s">
        <v>1765</v>
      </c>
      <c r="T53" s="29"/>
      <c r="U53" s="27" t="s">
        <v>867</v>
      </c>
      <c r="V53" s="27">
        <v>50</v>
      </c>
      <c r="W53" s="27">
        <v>1</v>
      </c>
      <c r="X53" s="27" t="s">
        <v>34</v>
      </c>
      <c r="Y53" s="27" t="s">
        <v>1762</v>
      </c>
      <c r="Z53" s="29"/>
      <c r="AA53" s="27" t="s">
        <v>867</v>
      </c>
      <c r="AB53" s="27">
        <v>50</v>
      </c>
      <c r="AC53" s="27" t="s">
        <v>34</v>
      </c>
      <c r="AD53" s="27" t="s">
        <v>34</v>
      </c>
      <c r="AE53" s="27" t="s">
        <v>34</v>
      </c>
      <c r="AF53" s="29"/>
      <c r="AG53" s="27" t="s">
        <v>867</v>
      </c>
      <c r="AH53" s="27">
        <v>50</v>
      </c>
      <c r="AI53" s="27" t="s">
        <v>34</v>
      </c>
      <c r="AJ53" s="27" t="s">
        <v>34</v>
      </c>
      <c r="AK53" s="27" t="s">
        <v>34</v>
      </c>
      <c r="AL53" s="29"/>
      <c r="AM53" s="27" t="s">
        <v>867</v>
      </c>
      <c r="AN53" s="27">
        <v>50</v>
      </c>
      <c r="AO53" s="27" t="s">
        <v>34</v>
      </c>
      <c r="AP53" s="27" t="s">
        <v>34</v>
      </c>
      <c r="AQ53" s="27" t="s">
        <v>34</v>
      </c>
      <c r="AR53" s="29"/>
      <c r="AS53" s="27" t="s">
        <v>867</v>
      </c>
      <c r="AT53" s="27">
        <v>50</v>
      </c>
      <c r="AU53" s="27" t="s">
        <v>34</v>
      </c>
      <c r="AV53" s="27" t="s">
        <v>34</v>
      </c>
      <c r="AW53" s="27" t="s">
        <v>34</v>
      </c>
      <c r="AX53" s="29"/>
      <c r="AY53" s="27" t="s">
        <v>867</v>
      </c>
      <c r="AZ53" s="27">
        <v>50</v>
      </c>
      <c r="BA53" s="27" t="s">
        <v>34</v>
      </c>
      <c r="BB53" s="27" t="s">
        <v>34</v>
      </c>
      <c r="BC53" s="27" t="s">
        <v>34</v>
      </c>
      <c r="BD53" s="29"/>
      <c r="BE53" s="27" t="s">
        <v>867</v>
      </c>
      <c r="BF53" s="27">
        <v>50</v>
      </c>
      <c r="BG53" s="27">
        <v>8</v>
      </c>
      <c r="BH53" s="27" t="s">
        <v>34</v>
      </c>
      <c r="BI53" s="27" t="s">
        <v>34</v>
      </c>
      <c r="BJ53" s="29"/>
      <c r="BK53" s="27" t="s">
        <v>867</v>
      </c>
      <c r="BL53" s="27">
        <v>50</v>
      </c>
      <c r="BM53" s="27">
        <v>109</v>
      </c>
      <c r="BN53" s="27" t="s">
        <v>34</v>
      </c>
      <c r="BO53" s="27" t="s">
        <v>34</v>
      </c>
      <c r="BP53" s="29"/>
    </row>
    <row r="54" spans="1:68" ht="15.75" customHeight="1" x14ac:dyDescent="0.15">
      <c r="A54" s="27">
        <v>2884</v>
      </c>
      <c r="B54" s="27" t="s">
        <v>848</v>
      </c>
      <c r="C54" s="27" t="s">
        <v>871</v>
      </c>
      <c r="D54" s="27">
        <v>41</v>
      </c>
      <c r="E54" s="27" t="s">
        <v>34</v>
      </c>
      <c r="F54" s="27" t="s">
        <v>34</v>
      </c>
      <c r="G54" s="27" t="s">
        <v>34</v>
      </c>
      <c r="H54" s="29"/>
      <c r="I54" s="27" t="s">
        <v>871</v>
      </c>
      <c r="J54" s="27">
        <v>41</v>
      </c>
      <c r="K54" s="27" t="s">
        <v>34</v>
      </c>
      <c r="L54" s="27" t="s">
        <v>34</v>
      </c>
      <c r="M54" s="27" t="s">
        <v>34</v>
      </c>
      <c r="N54" s="29"/>
      <c r="O54" s="27" t="s">
        <v>871</v>
      </c>
      <c r="P54" s="27">
        <v>41</v>
      </c>
      <c r="Q54" s="27">
        <v>0</v>
      </c>
      <c r="R54" s="27" t="s">
        <v>34</v>
      </c>
      <c r="S54" s="27" t="s">
        <v>34</v>
      </c>
      <c r="T54" s="29"/>
      <c r="U54" s="27" t="s">
        <v>871</v>
      </c>
      <c r="V54" s="27">
        <v>41</v>
      </c>
      <c r="W54" s="27">
        <v>0</v>
      </c>
      <c r="X54" s="27" t="s">
        <v>34</v>
      </c>
      <c r="Y54" s="27" t="s">
        <v>1762</v>
      </c>
      <c r="Z54" s="29"/>
      <c r="AA54" s="27" t="s">
        <v>871</v>
      </c>
      <c r="AB54" s="27">
        <v>41</v>
      </c>
      <c r="AC54" s="27" t="s">
        <v>34</v>
      </c>
      <c r="AD54" s="27" t="s">
        <v>34</v>
      </c>
      <c r="AE54" s="27" t="s">
        <v>34</v>
      </c>
      <c r="AF54" s="29"/>
      <c r="AG54" s="27" t="s">
        <v>871</v>
      </c>
      <c r="AH54" s="27">
        <v>41</v>
      </c>
      <c r="AI54" s="27" t="s">
        <v>34</v>
      </c>
      <c r="AJ54" s="27" t="s">
        <v>34</v>
      </c>
      <c r="AK54" s="27" t="s">
        <v>34</v>
      </c>
      <c r="AL54" s="29"/>
      <c r="AM54" s="27" t="s">
        <v>871</v>
      </c>
      <c r="AN54" s="27">
        <v>41</v>
      </c>
      <c r="AO54" s="27" t="s">
        <v>34</v>
      </c>
      <c r="AP54" s="27" t="s">
        <v>34</v>
      </c>
      <c r="AQ54" s="27" t="s">
        <v>34</v>
      </c>
      <c r="AR54" s="29"/>
      <c r="AS54" s="27" t="s">
        <v>871</v>
      </c>
      <c r="AT54" s="27">
        <v>41</v>
      </c>
      <c r="AU54" s="27" t="s">
        <v>34</v>
      </c>
      <c r="AV54" s="27" t="s">
        <v>34</v>
      </c>
      <c r="AW54" s="27" t="s">
        <v>34</v>
      </c>
      <c r="AX54" s="29"/>
      <c r="AY54" s="27" t="s">
        <v>871</v>
      </c>
      <c r="AZ54" s="27">
        <v>41</v>
      </c>
      <c r="BA54" s="27" t="s">
        <v>34</v>
      </c>
      <c r="BB54" s="27" t="s">
        <v>34</v>
      </c>
      <c r="BC54" s="27" t="s">
        <v>34</v>
      </c>
      <c r="BD54" s="29"/>
      <c r="BE54" s="27" t="s">
        <v>871</v>
      </c>
      <c r="BF54" s="27">
        <v>41</v>
      </c>
      <c r="BG54" s="27">
        <v>0</v>
      </c>
      <c r="BH54" s="27" t="s">
        <v>34</v>
      </c>
      <c r="BI54" s="27" t="s">
        <v>34</v>
      </c>
      <c r="BJ54" s="29"/>
      <c r="BK54" s="27" t="s">
        <v>871</v>
      </c>
      <c r="BL54" s="27">
        <v>41</v>
      </c>
      <c r="BM54" s="27">
        <v>37</v>
      </c>
      <c r="BN54" s="27" t="s">
        <v>34</v>
      </c>
      <c r="BO54" s="27" t="s">
        <v>34</v>
      </c>
      <c r="BP54" s="29"/>
    </row>
    <row r="55" spans="1:68" ht="15.75" customHeight="1" x14ac:dyDescent="0.15">
      <c r="A55" s="27">
        <v>2884</v>
      </c>
      <c r="B55" s="27" t="s">
        <v>848</v>
      </c>
      <c r="C55" s="27" t="s">
        <v>876</v>
      </c>
      <c r="D55" s="27">
        <v>50</v>
      </c>
      <c r="E55" s="27" t="s">
        <v>34</v>
      </c>
      <c r="F55" s="27" t="s">
        <v>34</v>
      </c>
      <c r="G55" s="27" t="s">
        <v>34</v>
      </c>
      <c r="H55" s="29"/>
      <c r="I55" s="27" t="s">
        <v>876</v>
      </c>
      <c r="J55" s="27">
        <v>50</v>
      </c>
      <c r="K55" s="27" t="s">
        <v>34</v>
      </c>
      <c r="L55" s="27" t="s">
        <v>34</v>
      </c>
      <c r="M55" s="27" t="s">
        <v>34</v>
      </c>
      <c r="N55" s="29"/>
      <c r="O55" s="27" t="s">
        <v>876</v>
      </c>
      <c r="P55" s="27">
        <v>50</v>
      </c>
      <c r="Q55" s="27">
        <v>0</v>
      </c>
      <c r="R55" s="27" t="s">
        <v>34</v>
      </c>
      <c r="S55" s="27" t="s">
        <v>34</v>
      </c>
      <c r="T55" s="29"/>
      <c r="U55" s="27" t="s">
        <v>876</v>
      </c>
      <c r="V55" s="27">
        <v>50</v>
      </c>
      <c r="W55" s="27">
        <v>2</v>
      </c>
      <c r="X55" s="27" t="s">
        <v>34</v>
      </c>
      <c r="Y55" s="27" t="s">
        <v>1762</v>
      </c>
      <c r="Z55" s="29"/>
      <c r="AA55" s="27" t="s">
        <v>876</v>
      </c>
      <c r="AB55" s="27">
        <v>50</v>
      </c>
      <c r="AC55" s="27" t="s">
        <v>34</v>
      </c>
      <c r="AD55" s="27" t="s">
        <v>34</v>
      </c>
      <c r="AE55" s="27" t="s">
        <v>34</v>
      </c>
      <c r="AF55" s="29"/>
      <c r="AG55" s="27" t="s">
        <v>876</v>
      </c>
      <c r="AH55" s="27">
        <v>50</v>
      </c>
      <c r="AI55" s="27" t="s">
        <v>34</v>
      </c>
      <c r="AJ55" s="27" t="s">
        <v>34</v>
      </c>
      <c r="AK55" s="27" t="s">
        <v>34</v>
      </c>
      <c r="AL55" s="29"/>
      <c r="AM55" s="27" t="s">
        <v>876</v>
      </c>
      <c r="AN55" s="27">
        <v>50</v>
      </c>
      <c r="AO55" s="27" t="s">
        <v>34</v>
      </c>
      <c r="AP55" s="27" t="s">
        <v>34</v>
      </c>
      <c r="AQ55" s="27" t="s">
        <v>34</v>
      </c>
      <c r="AR55" s="29"/>
      <c r="AS55" s="27" t="s">
        <v>876</v>
      </c>
      <c r="AT55" s="27">
        <v>50</v>
      </c>
      <c r="AU55" s="27" t="s">
        <v>34</v>
      </c>
      <c r="AV55" s="27" t="s">
        <v>34</v>
      </c>
      <c r="AW55" s="27" t="s">
        <v>34</v>
      </c>
      <c r="AX55" s="29"/>
      <c r="AY55" s="27" t="s">
        <v>876</v>
      </c>
      <c r="AZ55" s="27">
        <v>50</v>
      </c>
      <c r="BA55" s="27" t="s">
        <v>34</v>
      </c>
      <c r="BB55" s="27" t="s">
        <v>34</v>
      </c>
      <c r="BC55" s="27" t="s">
        <v>34</v>
      </c>
      <c r="BD55" s="29"/>
      <c r="BE55" s="27" t="s">
        <v>876</v>
      </c>
      <c r="BF55" s="27">
        <v>50</v>
      </c>
      <c r="BG55" s="27">
        <v>3</v>
      </c>
      <c r="BH55" s="27" t="s">
        <v>34</v>
      </c>
      <c r="BI55" s="27" t="s">
        <v>34</v>
      </c>
      <c r="BJ55" s="29"/>
      <c r="BK55" s="27" t="s">
        <v>876</v>
      </c>
      <c r="BL55" s="27">
        <v>50</v>
      </c>
      <c r="BM55" s="27">
        <v>96</v>
      </c>
      <c r="BN55" s="27" t="s">
        <v>34</v>
      </c>
      <c r="BO55" s="27" t="s">
        <v>34</v>
      </c>
      <c r="BP55" s="29"/>
    </row>
    <row r="56" spans="1:68" ht="15.75" customHeight="1" x14ac:dyDescent="0.15">
      <c r="A56" s="38">
        <v>417</v>
      </c>
      <c r="B56" s="33" t="s">
        <v>896</v>
      </c>
      <c r="C56" s="27" t="s">
        <v>60</v>
      </c>
      <c r="D56" s="27">
        <v>1109</v>
      </c>
      <c r="E56" s="27" t="s">
        <v>34</v>
      </c>
      <c r="F56" s="27" t="s">
        <v>34</v>
      </c>
      <c r="G56" s="27" t="s">
        <v>34</v>
      </c>
      <c r="H56" s="29"/>
      <c r="I56" s="27" t="s">
        <v>60</v>
      </c>
      <c r="J56" s="27">
        <v>1109</v>
      </c>
      <c r="K56" s="27" t="s">
        <v>34</v>
      </c>
      <c r="L56" s="27" t="s">
        <v>34</v>
      </c>
      <c r="M56" s="27" t="s">
        <v>34</v>
      </c>
      <c r="N56" s="29"/>
      <c r="O56" s="27" t="s">
        <v>60</v>
      </c>
      <c r="P56" s="27">
        <v>1109</v>
      </c>
      <c r="Q56" s="27" t="s">
        <v>34</v>
      </c>
      <c r="R56" s="27" t="s">
        <v>34</v>
      </c>
      <c r="S56" s="27" t="s">
        <v>34</v>
      </c>
      <c r="T56" s="29"/>
      <c r="U56" s="27" t="s">
        <v>60</v>
      </c>
      <c r="V56" s="27">
        <v>1109</v>
      </c>
      <c r="W56" s="27">
        <v>58</v>
      </c>
      <c r="X56" s="27" t="s">
        <v>1766</v>
      </c>
      <c r="Y56" s="27" t="s">
        <v>1767</v>
      </c>
      <c r="Z56" s="27" t="s">
        <v>1768</v>
      </c>
      <c r="AA56" s="27" t="s">
        <v>60</v>
      </c>
      <c r="AB56" s="27">
        <v>1109</v>
      </c>
      <c r="AC56" s="27" t="s">
        <v>34</v>
      </c>
      <c r="AD56" s="27" t="s">
        <v>34</v>
      </c>
      <c r="AE56" s="27" t="s">
        <v>34</v>
      </c>
      <c r="AF56" s="29"/>
      <c r="AG56" s="27" t="s">
        <v>60</v>
      </c>
      <c r="AH56" s="27">
        <v>1109</v>
      </c>
      <c r="AI56" s="27">
        <v>39</v>
      </c>
      <c r="AJ56" s="27" t="s">
        <v>1769</v>
      </c>
      <c r="AK56" s="29" t="s">
        <v>1770</v>
      </c>
      <c r="AL56" s="29" t="s">
        <v>1771</v>
      </c>
      <c r="AM56" s="27" t="s">
        <v>60</v>
      </c>
      <c r="AN56" s="27">
        <v>1109</v>
      </c>
      <c r="AO56" s="27" t="s">
        <v>1772</v>
      </c>
      <c r="AP56" s="27" t="s">
        <v>1773</v>
      </c>
      <c r="AQ56" s="27" t="s">
        <v>34</v>
      </c>
      <c r="AR56" s="27" t="s">
        <v>1768</v>
      </c>
      <c r="AS56" s="27" t="s">
        <v>60</v>
      </c>
      <c r="AT56" s="27">
        <v>1109</v>
      </c>
      <c r="AU56" s="27" t="s">
        <v>34</v>
      </c>
      <c r="AV56" s="27" t="s">
        <v>34</v>
      </c>
      <c r="AW56" s="27" t="s">
        <v>34</v>
      </c>
      <c r="AX56" s="29"/>
      <c r="AY56" s="27" t="s">
        <v>60</v>
      </c>
      <c r="AZ56" s="27">
        <v>1109</v>
      </c>
      <c r="BA56" s="27" t="s">
        <v>34</v>
      </c>
      <c r="BB56" s="27" t="s">
        <v>34</v>
      </c>
      <c r="BC56" s="27" t="s">
        <v>34</v>
      </c>
      <c r="BD56" s="29"/>
      <c r="BE56" s="27" t="s">
        <v>60</v>
      </c>
      <c r="BF56" s="27">
        <v>1109</v>
      </c>
      <c r="BG56" s="27" t="s">
        <v>34</v>
      </c>
      <c r="BH56" s="27" t="s">
        <v>34</v>
      </c>
      <c r="BI56" s="27" t="s">
        <v>34</v>
      </c>
      <c r="BJ56" s="29"/>
      <c r="BK56" s="27" t="s">
        <v>60</v>
      </c>
      <c r="BL56" s="27">
        <v>1109</v>
      </c>
      <c r="BM56" s="27" t="s">
        <v>1774</v>
      </c>
      <c r="BN56" s="27" t="s">
        <v>1775</v>
      </c>
      <c r="BO56" s="29"/>
      <c r="BP56" s="29"/>
    </row>
    <row r="57" spans="1:68" ht="15.75" customHeight="1" x14ac:dyDescent="0.15">
      <c r="A57" s="29">
        <f>Characteristics!A64</f>
        <v>3810</v>
      </c>
      <c r="B57" s="29" t="str">
        <f>Characteristics!B64</f>
        <v>Sompagdee 2020</v>
      </c>
      <c r="C57" s="27" t="s">
        <v>62</v>
      </c>
      <c r="D57" s="27">
        <v>650</v>
      </c>
      <c r="E57" s="27" t="s">
        <v>34</v>
      </c>
      <c r="F57" s="27" t="s">
        <v>34</v>
      </c>
      <c r="G57" s="27" t="s">
        <v>34</v>
      </c>
      <c r="H57" s="29"/>
      <c r="I57" s="27" t="s">
        <v>62</v>
      </c>
      <c r="J57" s="27">
        <v>650</v>
      </c>
      <c r="K57" s="27" t="s">
        <v>34</v>
      </c>
      <c r="L57" s="27" t="s">
        <v>34</v>
      </c>
      <c r="M57" s="27" t="s">
        <v>34</v>
      </c>
      <c r="N57" s="29"/>
      <c r="O57" s="27" t="s">
        <v>62</v>
      </c>
      <c r="P57" s="27">
        <v>650</v>
      </c>
      <c r="Q57" s="27" t="s">
        <v>34</v>
      </c>
      <c r="R57" s="27" t="s">
        <v>34</v>
      </c>
      <c r="S57" s="27" t="s">
        <v>34</v>
      </c>
      <c r="T57" s="29"/>
      <c r="U57" s="27" t="s">
        <v>62</v>
      </c>
      <c r="V57" s="27">
        <v>650</v>
      </c>
      <c r="W57" s="27">
        <v>59</v>
      </c>
      <c r="X57" s="29"/>
      <c r="Y57" s="29"/>
      <c r="Z57" s="29"/>
      <c r="AA57" s="27" t="s">
        <v>62</v>
      </c>
      <c r="AB57" s="27">
        <v>650</v>
      </c>
      <c r="AC57" s="27" t="s">
        <v>34</v>
      </c>
      <c r="AD57" s="27" t="s">
        <v>34</v>
      </c>
      <c r="AE57" s="27" t="s">
        <v>34</v>
      </c>
      <c r="AF57" s="29"/>
      <c r="AG57" s="27" t="s">
        <v>62</v>
      </c>
      <c r="AH57" s="27">
        <v>650</v>
      </c>
      <c r="AI57" s="27">
        <v>14</v>
      </c>
      <c r="AJ57" s="29"/>
      <c r="AK57" s="29"/>
      <c r="AL57" s="29"/>
      <c r="AM57" s="27" t="s">
        <v>62</v>
      </c>
      <c r="AN57" s="27">
        <v>650</v>
      </c>
      <c r="AO57" s="27" t="s">
        <v>1776</v>
      </c>
      <c r="AP57" s="29"/>
      <c r="AQ57" s="29"/>
      <c r="AR57" s="29"/>
      <c r="AS57" s="27" t="s">
        <v>62</v>
      </c>
      <c r="AT57" s="27">
        <v>650</v>
      </c>
      <c r="AU57" s="27" t="s">
        <v>34</v>
      </c>
      <c r="AV57" s="27" t="s">
        <v>34</v>
      </c>
      <c r="AW57" s="27" t="s">
        <v>34</v>
      </c>
      <c r="AX57" s="29"/>
      <c r="AY57" s="27" t="s">
        <v>62</v>
      </c>
      <c r="AZ57" s="27">
        <v>650</v>
      </c>
      <c r="BA57" s="27" t="s">
        <v>34</v>
      </c>
      <c r="BB57" s="27" t="s">
        <v>34</v>
      </c>
      <c r="BC57" s="27" t="s">
        <v>34</v>
      </c>
      <c r="BD57" s="29"/>
      <c r="BE57" s="27" t="s">
        <v>62</v>
      </c>
      <c r="BF57" s="27">
        <v>650</v>
      </c>
      <c r="BG57" s="27" t="s">
        <v>34</v>
      </c>
      <c r="BH57" s="27" t="s">
        <v>34</v>
      </c>
      <c r="BI57" s="27" t="s">
        <v>34</v>
      </c>
      <c r="BJ57" s="29"/>
      <c r="BK57" s="27" t="s">
        <v>62</v>
      </c>
      <c r="BL57" s="27">
        <v>650</v>
      </c>
      <c r="BM57" s="27" t="s">
        <v>1777</v>
      </c>
      <c r="BN57" s="29"/>
      <c r="BO57" s="29"/>
      <c r="BP57" s="29"/>
    </row>
    <row r="58" spans="1:68" ht="72" customHeight="1" x14ac:dyDescent="0.15">
      <c r="A58" s="27">
        <v>1868</v>
      </c>
      <c r="B58" s="27" t="s">
        <v>880</v>
      </c>
      <c r="C58" s="29" t="s">
        <v>33</v>
      </c>
      <c r="D58" s="29"/>
      <c r="E58" s="29" t="s">
        <v>34</v>
      </c>
      <c r="F58" s="29" t="s">
        <v>34</v>
      </c>
      <c r="G58" s="29" t="s">
        <v>34</v>
      </c>
      <c r="H58" s="29"/>
      <c r="I58" s="29" t="s">
        <v>33</v>
      </c>
      <c r="J58" s="27" t="s">
        <v>34</v>
      </c>
      <c r="K58" s="29" t="s">
        <v>34</v>
      </c>
      <c r="L58" s="29" t="s">
        <v>34</v>
      </c>
      <c r="M58" s="29" t="s">
        <v>34</v>
      </c>
      <c r="N58" s="29"/>
      <c r="O58" s="29" t="s">
        <v>33</v>
      </c>
      <c r="P58" s="29"/>
      <c r="Q58" s="29" t="s">
        <v>34</v>
      </c>
      <c r="R58" s="29"/>
      <c r="S58" s="29"/>
      <c r="T58" s="29"/>
      <c r="U58" s="29" t="s">
        <v>33</v>
      </c>
      <c r="V58" s="29"/>
      <c r="W58" s="29" t="s">
        <v>34</v>
      </c>
      <c r="X58" s="29"/>
      <c r="Y58" s="29"/>
      <c r="Z58" s="29"/>
      <c r="AA58" s="29" t="s">
        <v>33</v>
      </c>
      <c r="AB58" s="29"/>
      <c r="AC58" s="29" t="s">
        <v>34</v>
      </c>
      <c r="AD58" s="29"/>
      <c r="AE58" s="29"/>
      <c r="AF58" s="29"/>
      <c r="AG58" s="29" t="s">
        <v>33</v>
      </c>
      <c r="AH58" s="29"/>
      <c r="AI58" s="29" t="s">
        <v>34</v>
      </c>
      <c r="AJ58" s="29"/>
      <c r="AK58" s="29"/>
      <c r="AL58" s="29"/>
      <c r="AM58" s="29" t="s">
        <v>33</v>
      </c>
      <c r="AN58" s="29"/>
      <c r="AO58" s="29" t="s">
        <v>34</v>
      </c>
      <c r="AP58" s="29"/>
      <c r="AQ58" s="29"/>
      <c r="AR58" s="29"/>
      <c r="AS58" s="29" t="s">
        <v>33</v>
      </c>
      <c r="AT58" s="29"/>
      <c r="AU58" s="29" t="s">
        <v>34</v>
      </c>
      <c r="AV58" s="29"/>
      <c r="AW58" s="29"/>
      <c r="AX58" s="29"/>
      <c r="AY58" s="29" t="s">
        <v>33</v>
      </c>
      <c r="AZ58" s="29"/>
      <c r="BA58" s="29" t="s">
        <v>34</v>
      </c>
      <c r="BB58" s="29"/>
      <c r="BC58" s="29"/>
      <c r="BD58" s="29"/>
      <c r="BE58" s="29" t="s">
        <v>33</v>
      </c>
      <c r="BF58" s="29">
        <v>77</v>
      </c>
      <c r="BG58" s="29">
        <v>0</v>
      </c>
      <c r="BH58" s="29"/>
      <c r="BI58" s="29"/>
      <c r="BJ58" s="29"/>
      <c r="BK58" s="27" t="s">
        <v>33</v>
      </c>
      <c r="BL58" s="35">
        <v>77</v>
      </c>
      <c r="BM58" s="35">
        <v>0</v>
      </c>
      <c r="BN58" s="29" t="s">
        <v>34</v>
      </c>
      <c r="BO58" s="29"/>
      <c r="BP58" s="27" t="s">
        <v>1778</v>
      </c>
    </row>
    <row r="59" spans="1:68" ht="15.75" customHeight="1" x14ac:dyDescent="0.15">
      <c r="A59" s="27">
        <v>1868</v>
      </c>
      <c r="B59" s="27" t="s">
        <v>880</v>
      </c>
      <c r="C59" s="29" t="s">
        <v>46</v>
      </c>
      <c r="D59" s="29"/>
      <c r="E59" s="29" t="s">
        <v>34</v>
      </c>
      <c r="F59" s="29" t="s">
        <v>34</v>
      </c>
      <c r="G59" s="29" t="s">
        <v>34</v>
      </c>
      <c r="H59" s="29"/>
      <c r="I59" s="29" t="s">
        <v>46</v>
      </c>
      <c r="J59" s="27" t="s">
        <v>34</v>
      </c>
      <c r="K59" s="29" t="s">
        <v>34</v>
      </c>
      <c r="L59" s="29" t="s">
        <v>34</v>
      </c>
      <c r="M59" s="29" t="s">
        <v>34</v>
      </c>
      <c r="N59" s="29"/>
      <c r="O59" s="29" t="s">
        <v>46</v>
      </c>
      <c r="P59" s="29"/>
      <c r="Q59" s="29" t="s">
        <v>34</v>
      </c>
      <c r="R59" s="29"/>
      <c r="S59" s="29"/>
      <c r="T59" s="29"/>
      <c r="U59" s="29" t="s">
        <v>46</v>
      </c>
      <c r="V59" s="29"/>
      <c r="W59" s="29" t="s">
        <v>34</v>
      </c>
      <c r="X59" s="29"/>
      <c r="Y59" s="29"/>
      <c r="Z59" s="29"/>
      <c r="AA59" s="29" t="s">
        <v>46</v>
      </c>
      <c r="AB59" s="29"/>
      <c r="AC59" s="29" t="s">
        <v>34</v>
      </c>
      <c r="AD59" s="29"/>
      <c r="AE59" s="29"/>
      <c r="AF59" s="29"/>
      <c r="AG59" s="29" t="s">
        <v>46</v>
      </c>
      <c r="AH59" s="29"/>
      <c r="AI59" s="29" t="s">
        <v>34</v>
      </c>
      <c r="AJ59" s="29"/>
      <c r="AK59" s="29"/>
      <c r="AL59" s="29"/>
      <c r="AM59" s="29" t="s">
        <v>46</v>
      </c>
      <c r="AN59" s="29"/>
      <c r="AO59" s="29" t="s">
        <v>34</v>
      </c>
      <c r="AP59" s="29"/>
      <c r="AQ59" s="29"/>
      <c r="AR59" s="29"/>
      <c r="AS59" s="29" t="s">
        <v>46</v>
      </c>
      <c r="AT59" s="29"/>
      <c r="AU59" s="29" t="s">
        <v>34</v>
      </c>
      <c r="AV59" s="29"/>
      <c r="AW59" s="29"/>
      <c r="AX59" s="29"/>
      <c r="AY59" s="29" t="s">
        <v>46</v>
      </c>
      <c r="AZ59" s="29"/>
      <c r="BA59" s="29" t="s">
        <v>34</v>
      </c>
      <c r="BB59" s="29"/>
      <c r="BC59" s="29"/>
      <c r="BD59" s="29"/>
      <c r="BE59" s="29" t="s">
        <v>46</v>
      </c>
      <c r="BF59" s="29">
        <v>27</v>
      </c>
      <c r="BG59" s="29">
        <v>0</v>
      </c>
      <c r="BH59" s="29"/>
      <c r="BI59" s="29"/>
      <c r="BJ59" s="29"/>
      <c r="BK59" s="27" t="s">
        <v>46</v>
      </c>
      <c r="BL59" s="35">
        <v>27</v>
      </c>
      <c r="BM59" s="35">
        <v>1</v>
      </c>
      <c r="BN59" s="29" t="s">
        <v>34</v>
      </c>
      <c r="BO59" s="29"/>
      <c r="BP59" s="29"/>
    </row>
    <row r="60" spans="1:68" ht="108.75" customHeight="1" x14ac:dyDescent="0.15">
      <c r="A60" s="27">
        <v>13353</v>
      </c>
      <c r="B60" s="27" t="s">
        <v>914</v>
      </c>
      <c r="C60" s="27" t="s">
        <v>925</v>
      </c>
      <c r="D60" s="35">
        <v>326</v>
      </c>
      <c r="E60" s="29">
        <v>10</v>
      </c>
      <c r="F60" s="29" t="s">
        <v>34</v>
      </c>
      <c r="G60" s="29" t="s">
        <v>34</v>
      </c>
      <c r="H60" s="27" t="s">
        <v>1779</v>
      </c>
      <c r="I60" s="27" t="s">
        <v>925</v>
      </c>
      <c r="J60" s="35">
        <v>326</v>
      </c>
      <c r="K60" s="29" t="s">
        <v>34</v>
      </c>
      <c r="L60" s="29" t="s">
        <v>34</v>
      </c>
      <c r="M60" s="29" t="s">
        <v>34</v>
      </c>
      <c r="N60" s="29"/>
      <c r="O60" s="27" t="s">
        <v>925</v>
      </c>
      <c r="P60" s="35">
        <v>326</v>
      </c>
      <c r="Q60" s="29" t="s">
        <v>34</v>
      </c>
      <c r="R60" s="29" t="s">
        <v>34</v>
      </c>
      <c r="S60" s="29" t="s">
        <v>1780</v>
      </c>
      <c r="T60" s="27" t="s">
        <v>1781</v>
      </c>
      <c r="U60" s="27" t="s">
        <v>925</v>
      </c>
      <c r="V60" s="35">
        <v>326</v>
      </c>
      <c r="W60" s="29" t="s">
        <v>34</v>
      </c>
      <c r="X60" s="29" t="s">
        <v>34</v>
      </c>
      <c r="Y60" s="29" t="s">
        <v>34</v>
      </c>
      <c r="Z60" s="29"/>
      <c r="AA60" s="27" t="s">
        <v>925</v>
      </c>
      <c r="AB60" s="35">
        <v>326</v>
      </c>
      <c r="AC60" s="29" t="s">
        <v>34</v>
      </c>
      <c r="AD60" s="29" t="s">
        <v>34</v>
      </c>
      <c r="AE60" s="33" t="s">
        <v>1782</v>
      </c>
      <c r="AF60" s="27" t="s">
        <v>1783</v>
      </c>
      <c r="AG60" s="27" t="s">
        <v>925</v>
      </c>
      <c r="AH60" s="35">
        <v>326</v>
      </c>
      <c r="AI60" s="29" t="s">
        <v>34</v>
      </c>
      <c r="AJ60" s="29" t="s">
        <v>34</v>
      </c>
      <c r="AK60" s="29" t="s">
        <v>34</v>
      </c>
      <c r="AL60" s="29"/>
      <c r="AM60" s="27" t="s">
        <v>925</v>
      </c>
      <c r="AN60" s="35">
        <v>326</v>
      </c>
      <c r="AO60" s="29" t="s">
        <v>34</v>
      </c>
      <c r="AP60" s="29" t="s">
        <v>34</v>
      </c>
      <c r="AQ60" s="29" t="s">
        <v>34</v>
      </c>
      <c r="AR60" s="29"/>
      <c r="AS60" s="27" t="s">
        <v>925</v>
      </c>
      <c r="AT60" s="35">
        <v>326</v>
      </c>
      <c r="AU60" s="29" t="s">
        <v>34</v>
      </c>
      <c r="AV60" s="29" t="s">
        <v>34</v>
      </c>
      <c r="AW60" s="33" t="s">
        <v>1784</v>
      </c>
      <c r="AX60" s="27" t="s">
        <v>1785</v>
      </c>
      <c r="AY60" s="27" t="s">
        <v>925</v>
      </c>
      <c r="AZ60" s="35">
        <v>326</v>
      </c>
      <c r="BA60" s="29" t="s">
        <v>34</v>
      </c>
      <c r="BB60" s="29" t="s">
        <v>34</v>
      </c>
      <c r="BC60" s="27" t="s">
        <v>1786</v>
      </c>
      <c r="BD60" s="27" t="s">
        <v>1787</v>
      </c>
      <c r="BE60" s="27" t="s">
        <v>925</v>
      </c>
      <c r="BF60" s="35">
        <v>326</v>
      </c>
      <c r="BG60" s="29" t="s">
        <v>34</v>
      </c>
      <c r="BH60" s="29" t="s">
        <v>34</v>
      </c>
      <c r="BI60" s="27" t="s">
        <v>1788</v>
      </c>
      <c r="BJ60" s="27" t="s">
        <v>1789</v>
      </c>
      <c r="BK60" s="27" t="s">
        <v>925</v>
      </c>
      <c r="BL60" s="35">
        <v>326</v>
      </c>
      <c r="BM60" s="27" t="s">
        <v>1790</v>
      </c>
      <c r="BN60" s="27" t="s">
        <v>34</v>
      </c>
      <c r="BO60" s="27" t="s">
        <v>1791</v>
      </c>
      <c r="BP60" s="29" t="s">
        <v>1792</v>
      </c>
    </row>
    <row r="61" spans="1:68" ht="15.75" customHeight="1" x14ac:dyDescent="0.15">
      <c r="A61" s="27">
        <v>13353</v>
      </c>
      <c r="B61" s="27" t="s">
        <v>914</v>
      </c>
      <c r="C61" s="27" t="s">
        <v>929</v>
      </c>
      <c r="D61" s="35">
        <v>467</v>
      </c>
      <c r="E61" s="29">
        <v>7</v>
      </c>
      <c r="F61" s="29" t="s">
        <v>34</v>
      </c>
      <c r="G61" s="29" t="s">
        <v>34</v>
      </c>
      <c r="H61" s="29"/>
      <c r="I61" s="27" t="s">
        <v>929</v>
      </c>
      <c r="J61" s="35">
        <v>467</v>
      </c>
      <c r="K61" s="29" t="s">
        <v>34</v>
      </c>
      <c r="L61" s="29" t="s">
        <v>34</v>
      </c>
      <c r="M61" s="29" t="s">
        <v>34</v>
      </c>
      <c r="N61" s="29"/>
      <c r="O61" s="27" t="s">
        <v>929</v>
      </c>
      <c r="P61" s="35">
        <v>467</v>
      </c>
      <c r="Q61" s="29" t="s">
        <v>34</v>
      </c>
      <c r="R61" s="29" t="s">
        <v>34</v>
      </c>
      <c r="S61" s="29"/>
      <c r="T61" s="29"/>
      <c r="U61" s="27" t="s">
        <v>929</v>
      </c>
      <c r="V61" s="35">
        <v>467</v>
      </c>
      <c r="W61" s="29" t="s">
        <v>34</v>
      </c>
      <c r="X61" s="29" t="s">
        <v>34</v>
      </c>
      <c r="Y61" s="29" t="s">
        <v>34</v>
      </c>
      <c r="Z61" s="29"/>
      <c r="AA61" s="27" t="s">
        <v>929</v>
      </c>
      <c r="AB61" s="35">
        <v>467</v>
      </c>
      <c r="AC61" s="29" t="s">
        <v>34</v>
      </c>
      <c r="AD61" s="29" t="s">
        <v>34</v>
      </c>
      <c r="AE61" s="29"/>
      <c r="AF61" s="29"/>
      <c r="AG61" s="27" t="s">
        <v>929</v>
      </c>
      <c r="AH61" s="35">
        <v>467</v>
      </c>
      <c r="AI61" s="29" t="s">
        <v>34</v>
      </c>
      <c r="AJ61" s="29" t="s">
        <v>34</v>
      </c>
      <c r="AK61" s="29" t="s">
        <v>34</v>
      </c>
      <c r="AL61" s="29"/>
      <c r="AM61" s="27" t="s">
        <v>929</v>
      </c>
      <c r="AN61" s="35">
        <v>467</v>
      </c>
      <c r="AO61" s="29" t="s">
        <v>34</v>
      </c>
      <c r="AP61" s="29" t="s">
        <v>34</v>
      </c>
      <c r="AQ61" s="29" t="s">
        <v>34</v>
      </c>
      <c r="AR61" s="29"/>
      <c r="AS61" s="27" t="s">
        <v>929</v>
      </c>
      <c r="AT61" s="35">
        <v>467</v>
      </c>
      <c r="AU61" s="29" t="s">
        <v>34</v>
      </c>
      <c r="AV61" s="29" t="s">
        <v>34</v>
      </c>
      <c r="AW61" s="29"/>
      <c r="AX61" s="29"/>
      <c r="AY61" s="27" t="s">
        <v>929</v>
      </c>
      <c r="AZ61" s="35">
        <v>467</v>
      </c>
      <c r="BA61" s="29" t="s">
        <v>34</v>
      </c>
      <c r="BB61" s="29" t="s">
        <v>34</v>
      </c>
      <c r="BC61" s="29"/>
      <c r="BD61" s="29"/>
      <c r="BE61" s="27" t="s">
        <v>929</v>
      </c>
      <c r="BF61" s="35">
        <v>467</v>
      </c>
      <c r="BG61" s="29" t="s">
        <v>34</v>
      </c>
      <c r="BH61" s="29" t="s">
        <v>34</v>
      </c>
      <c r="BI61" s="29" t="s">
        <v>34</v>
      </c>
      <c r="BJ61" s="29"/>
      <c r="BK61" s="27" t="s">
        <v>929</v>
      </c>
      <c r="BL61" s="35">
        <v>467</v>
      </c>
      <c r="BM61" s="27" t="s">
        <v>1793</v>
      </c>
      <c r="BN61" s="27" t="s">
        <v>34</v>
      </c>
      <c r="BO61" s="27" t="s">
        <v>34</v>
      </c>
      <c r="BP61" s="27" t="s">
        <v>1794</v>
      </c>
    </row>
    <row r="62" spans="1:68" ht="15.75" customHeight="1" x14ac:dyDescent="0.15">
      <c r="A62" s="27">
        <v>997</v>
      </c>
      <c r="B62" s="27" t="s">
        <v>932</v>
      </c>
      <c r="C62" s="29" t="s">
        <v>33</v>
      </c>
      <c r="D62" s="39">
        <v>45008</v>
      </c>
      <c r="E62" s="29" t="s">
        <v>34</v>
      </c>
      <c r="F62" s="29" t="s">
        <v>34</v>
      </c>
      <c r="G62" s="29" t="s">
        <v>34</v>
      </c>
      <c r="H62" s="29"/>
      <c r="I62" s="29" t="s">
        <v>33</v>
      </c>
      <c r="J62" s="39">
        <v>45008</v>
      </c>
      <c r="K62" s="29" t="s">
        <v>34</v>
      </c>
      <c r="L62" s="29" t="s">
        <v>34</v>
      </c>
      <c r="M62" s="29" t="s">
        <v>34</v>
      </c>
      <c r="N62" s="29"/>
      <c r="O62" s="29" t="s">
        <v>33</v>
      </c>
      <c r="P62" s="39">
        <v>45008</v>
      </c>
      <c r="Q62" s="29" t="s">
        <v>34</v>
      </c>
      <c r="R62" s="29" t="s">
        <v>34</v>
      </c>
      <c r="S62" s="29" t="s">
        <v>34</v>
      </c>
      <c r="T62" s="29"/>
      <c r="U62" s="29" t="s">
        <v>33</v>
      </c>
      <c r="V62" s="39">
        <v>45008</v>
      </c>
      <c r="W62" s="29">
        <v>426</v>
      </c>
      <c r="X62" s="29" t="s">
        <v>34</v>
      </c>
      <c r="Y62" s="29" t="s">
        <v>1795</v>
      </c>
      <c r="Z62" s="29" t="s">
        <v>1796</v>
      </c>
      <c r="AA62" s="29" t="s">
        <v>33</v>
      </c>
      <c r="AB62" s="39">
        <v>45008</v>
      </c>
      <c r="AC62" s="29" t="s">
        <v>34</v>
      </c>
      <c r="AD62" s="29" t="s">
        <v>34</v>
      </c>
      <c r="AE62" s="29" t="s">
        <v>34</v>
      </c>
      <c r="AF62" s="29"/>
      <c r="AG62" s="29" t="s">
        <v>33</v>
      </c>
      <c r="AH62" s="39">
        <v>45008</v>
      </c>
      <c r="AI62" s="29">
        <v>2883</v>
      </c>
      <c r="AJ62" s="29" t="s">
        <v>1797</v>
      </c>
      <c r="AK62" s="29" t="s">
        <v>1798</v>
      </c>
      <c r="AL62" s="29" t="s">
        <v>1799</v>
      </c>
      <c r="AM62" s="29" t="s">
        <v>33</v>
      </c>
      <c r="AN62" s="39">
        <v>45008</v>
      </c>
      <c r="AO62" s="29" t="s">
        <v>34</v>
      </c>
      <c r="AP62" s="29" t="s">
        <v>34</v>
      </c>
      <c r="AQ62" s="29" t="s">
        <v>34</v>
      </c>
      <c r="AR62" s="29"/>
      <c r="AS62" s="29" t="s">
        <v>33</v>
      </c>
      <c r="AT62" s="39">
        <v>45008</v>
      </c>
      <c r="AU62" s="29" t="s">
        <v>34</v>
      </c>
      <c r="AV62" s="29" t="s">
        <v>34</v>
      </c>
      <c r="AW62" s="29" t="s">
        <v>34</v>
      </c>
      <c r="AX62" s="29"/>
      <c r="AY62" s="29" t="s">
        <v>33</v>
      </c>
      <c r="AZ62" s="39">
        <v>45008</v>
      </c>
      <c r="BA62" s="29" t="s">
        <v>34</v>
      </c>
      <c r="BB62" s="29" t="s">
        <v>34</v>
      </c>
      <c r="BC62" s="29" t="s">
        <v>34</v>
      </c>
      <c r="BD62" s="29"/>
      <c r="BE62" s="29" t="s">
        <v>33</v>
      </c>
      <c r="BF62" s="39">
        <v>45008</v>
      </c>
      <c r="BG62" s="29" t="s">
        <v>34</v>
      </c>
      <c r="BH62" s="29" t="s">
        <v>34</v>
      </c>
      <c r="BI62" s="29" t="s">
        <v>34</v>
      </c>
      <c r="BJ62" s="29"/>
      <c r="BK62" s="27" t="s">
        <v>33</v>
      </c>
      <c r="BL62" s="40">
        <v>45008</v>
      </c>
      <c r="BM62" s="35" t="s">
        <v>34</v>
      </c>
      <c r="BN62" s="29" t="s">
        <v>34</v>
      </c>
      <c r="BO62" s="29" t="s">
        <v>34</v>
      </c>
      <c r="BP62" s="27"/>
    </row>
    <row r="63" spans="1:68" ht="15.75" customHeight="1" x14ac:dyDescent="0.15">
      <c r="A63" s="27">
        <v>997</v>
      </c>
      <c r="B63" s="27" t="s">
        <v>932</v>
      </c>
      <c r="C63" s="29" t="s">
        <v>46</v>
      </c>
      <c r="D63" s="39">
        <v>152556</v>
      </c>
      <c r="E63" s="29" t="s">
        <v>34</v>
      </c>
      <c r="F63" s="29" t="s">
        <v>34</v>
      </c>
      <c r="G63" s="29" t="s">
        <v>34</v>
      </c>
      <c r="H63" s="29"/>
      <c r="I63" s="29" t="s">
        <v>46</v>
      </c>
      <c r="J63" s="39">
        <v>152556</v>
      </c>
      <c r="K63" s="29" t="s">
        <v>34</v>
      </c>
      <c r="L63" s="29" t="s">
        <v>34</v>
      </c>
      <c r="M63" s="29" t="s">
        <v>34</v>
      </c>
      <c r="N63" s="29"/>
      <c r="O63" s="29" t="s">
        <v>46</v>
      </c>
      <c r="P63" s="39">
        <v>152556</v>
      </c>
      <c r="Q63" s="29" t="s">
        <v>34</v>
      </c>
      <c r="R63" s="29" t="s">
        <v>34</v>
      </c>
      <c r="S63" s="29" t="s">
        <v>34</v>
      </c>
      <c r="T63" s="29"/>
      <c r="U63" s="29" t="s">
        <v>46</v>
      </c>
      <c r="V63" s="39">
        <v>152556</v>
      </c>
      <c r="W63" s="29">
        <v>2711</v>
      </c>
      <c r="X63" s="29"/>
      <c r="Y63" s="29"/>
      <c r="Z63" s="29"/>
      <c r="AA63" s="29" t="s">
        <v>46</v>
      </c>
      <c r="AB63" s="39">
        <v>152556</v>
      </c>
      <c r="AC63" s="29" t="s">
        <v>34</v>
      </c>
      <c r="AD63" s="29" t="s">
        <v>34</v>
      </c>
      <c r="AE63" s="29" t="s">
        <v>34</v>
      </c>
      <c r="AF63" s="29"/>
      <c r="AG63" s="29" t="s">
        <v>46</v>
      </c>
      <c r="AH63" s="39">
        <v>152556</v>
      </c>
      <c r="AI63" s="29">
        <v>7970</v>
      </c>
      <c r="AJ63" s="29"/>
      <c r="AK63" s="29"/>
      <c r="AL63" s="29"/>
      <c r="AM63" s="29" t="s">
        <v>46</v>
      </c>
      <c r="AN63" s="39">
        <v>152556</v>
      </c>
      <c r="AO63" s="29" t="s">
        <v>34</v>
      </c>
      <c r="AP63" s="29" t="s">
        <v>34</v>
      </c>
      <c r="AQ63" s="29" t="s">
        <v>34</v>
      </c>
      <c r="AR63" s="29"/>
      <c r="AS63" s="29" t="s">
        <v>46</v>
      </c>
      <c r="AT63" s="39">
        <v>152556</v>
      </c>
      <c r="AU63" s="29" t="s">
        <v>34</v>
      </c>
      <c r="AV63" s="29" t="s">
        <v>34</v>
      </c>
      <c r="AW63" s="29" t="s">
        <v>34</v>
      </c>
      <c r="AX63" s="29"/>
      <c r="AY63" s="29" t="s">
        <v>46</v>
      </c>
      <c r="AZ63" s="39">
        <v>152556</v>
      </c>
      <c r="BA63" s="29" t="s">
        <v>34</v>
      </c>
      <c r="BB63" s="29" t="s">
        <v>34</v>
      </c>
      <c r="BC63" s="29" t="s">
        <v>34</v>
      </c>
      <c r="BD63" s="29"/>
      <c r="BE63" s="29" t="s">
        <v>46</v>
      </c>
      <c r="BF63" s="39">
        <v>152556</v>
      </c>
      <c r="BG63" s="29" t="s">
        <v>34</v>
      </c>
      <c r="BH63" s="29" t="s">
        <v>34</v>
      </c>
      <c r="BI63" s="29" t="s">
        <v>34</v>
      </c>
      <c r="BJ63" s="29"/>
      <c r="BK63" s="27" t="s">
        <v>46</v>
      </c>
      <c r="BL63" s="40">
        <v>152556</v>
      </c>
      <c r="BM63" s="35" t="s">
        <v>34</v>
      </c>
      <c r="BN63" s="29" t="s">
        <v>34</v>
      </c>
      <c r="BO63" s="29" t="s">
        <v>34</v>
      </c>
      <c r="BP63" s="29"/>
    </row>
    <row r="64" spans="1:68" ht="43.5" customHeight="1" x14ac:dyDescent="0.15">
      <c r="A64" s="27">
        <v>1778</v>
      </c>
      <c r="B64" s="27" t="s">
        <v>976</v>
      </c>
      <c r="C64" s="27" t="s">
        <v>1800</v>
      </c>
      <c r="D64" s="27">
        <v>723</v>
      </c>
      <c r="E64" s="27" t="s">
        <v>1801</v>
      </c>
      <c r="F64" s="27" t="s">
        <v>1802</v>
      </c>
      <c r="G64" s="27" t="s">
        <v>1803</v>
      </c>
      <c r="H64" s="29"/>
      <c r="I64" s="27" t="s">
        <v>1800</v>
      </c>
      <c r="J64" s="27">
        <v>723</v>
      </c>
      <c r="K64" s="27" t="s">
        <v>34</v>
      </c>
      <c r="L64" s="27" t="s">
        <v>34</v>
      </c>
      <c r="M64" s="27" t="s">
        <v>34</v>
      </c>
      <c r="N64" s="29"/>
      <c r="O64" s="27" t="s">
        <v>1800</v>
      </c>
      <c r="P64" s="27">
        <v>723</v>
      </c>
      <c r="Q64" s="27" t="s">
        <v>34</v>
      </c>
      <c r="R64" s="27" t="s">
        <v>34</v>
      </c>
      <c r="S64" s="27" t="s">
        <v>34</v>
      </c>
      <c r="T64" s="29"/>
      <c r="U64" s="27" t="s">
        <v>1800</v>
      </c>
      <c r="V64" s="27">
        <v>690</v>
      </c>
      <c r="W64" s="27" t="s">
        <v>1804</v>
      </c>
      <c r="X64" s="27" t="s">
        <v>1805</v>
      </c>
      <c r="Y64" s="27" t="s">
        <v>1806</v>
      </c>
      <c r="Z64" s="27" t="s">
        <v>1807</v>
      </c>
      <c r="AA64" s="27" t="s">
        <v>1800</v>
      </c>
      <c r="AB64" s="27">
        <v>723</v>
      </c>
      <c r="AC64" s="27" t="s">
        <v>34</v>
      </c>
      <c r="AD64" s="27" t="s">
        <v>34</v>
      </c>
      <c r="AE64" s="27" t="s">
        <v>34</v>
      </c>
      <c r="AF64" s="29"/>
      <c r="AG64" s="27" t="s">
        <v>1800</v>
      </c>
      <c r="AH64" s="27">
        <v>723</v>
      </c>
      <c r="AI64" s="27" t="s">
        <v>34</v>
      </c>
      <c r="AJ64" s="27" t="s">
        <v>34</v>
      </c>
      <c r="AK64" s="27" t="s">
        <v>34</v>
      </c>
      <c r="AL64" s="29"/>
      <c r="AM64" s="27" t="s">
        <v>1800</v>
      </c>
      <c r="AN64" s="27">
        <v>723</v>
      </c>
      <c r="AO64" s="27" t="s">
        <v>34</v>
      </c>
      <c r="AP64" s="27" t="s">
        <v>34</v>
      </c>
      <c r="AQ64" s="27" t="s">
        <v>34</v>
      </c>
      <c r="AR64" s="29"/>
      <c r="AS64" s="27" t="s">
        <v>1800</v>
      </c>
      <c r="AT64" s="27">
        <v>723</v>
      </c>
      <c r="AU64" s="27" t="s">
        <v>34</v>
      </c>
      <c r="AV64" s="27" t="s">
        <v>34</v>
      </c>
      <c r="AW64" s="27" t="s">
        <v>34</v>
      </c>
      <c r="AX64" s="29"/>
      <c r="AY64" s="27" t="s">
        <v>1800</v>
      </c>
      <c r="AZ64" s="27">
        <v>723</v>
      </c>
      <c r="BA64" s="27" t="s">
        <v>34</v>
      </c>
      <c r="BB64" s="27" t="s">
        <v>34</v>
      </c>
      <c r="BC64" s="27" t="s">
        <v>34</v>
      </c>
      <c r="BD64" s="29"/>
      <c r="BE64" s="27" t="s">
        <v>1800</v>
      </c>
      <c r="BF64" s="27">
        <v>723</v>
      </c>
      <c r="BG64" s="27" t="s">
        <v>1808</v>
      </c>
      <c r="BH64" s="27" t="s">
        <v>1809</v>
      </c>
      <c r="BI64" s="27" t="s">
        <v>1810</v>
      </c>
      <c r="BJ64" s="27" t="s">
        <v>1811</v>
      </c>
      <c r="BK64" s="27" t="s">
        <v>1800</v>
      </c>
      <c r="BL64" s="35"/>
      <c r="BM64" s="27" t="s">
        <v>34</v>
      </c>
      <c r="BN64" s="29"/>
      <c r="BO64" s="29"/>
      <c r="BP64" s="29"/>
    </row>
    <row r="65" spans="1:68" ht="39.75" customHeight="1" x14ac:dyDescent="0.15">
      <c r="A65" s="27">
        <v>1778</v>
      </c>
      <c r="B65" s="27" t="s">
        <v>976</v>
      </c>
      <c r="C65" s="27" t="s">
        <v>1812</v>
      </c>
      <c r="D65" s="27">
        <v>57</v>
      </c>
      <c r="E65" s="27" t="s">
        <v>1813</v>
      </c>
      <c r="F65" s="29"/>
      <c r="G65" s="27" t="s">
        <v>1803</v>
      </c>
      <c r="H65" s="27" t="s">
        <v>1814</v>
      </c>
      <c r="I65" s="27" t="s">
        <v>1812</v>
      </c>
      <c r="J65" s="27">
        <v>58</v>
      </c>
      <c r="K65" s="27" t="s">
        <v>34</v>
      </c>
      <c r="L65" s="27" t="s">
        <v>34</v>
      </c>
      <c r="M65" s="27" t="s">
        <v>34</v>
      </c>
      <c r="N65" s="29"/>
      <c r="O65" s="27" t="s">
        <v>1812</v>
      </c>
      <c r="P65" s="27">
        <v>58</v>
      </c>
      <c r="Q65" s="27" t="s">
        <v>34</v>
      </c>
      <c r="R65" s="27" t="s">
        <v>34</v>
      </c>
      <c r="S65" s="27" t="s">
        <v>34</v>
      </c>
      <c r="T65" s="29"/>
      <c r="U65" s="27" t="s">
        <v>1812</v>
      </c>
      <c r="V65" s="27">
        <v>58</v>
      </c>
      <c r="W65" s="27" t="s">
        <v>34</v>
      </c>
      <c r="X65" s="27" t="s">
        <v>34</v>
      </c>
      <c r="Y65" s="27" t="s">
        <v>34</v>
      </c>
      <c r="Z65" s="29"/>
      <c r="AA65" s="27" t="s">
        <v>1812</v>
      </c>
      <c r="AB65" s="27">
        <v>58</v>
      </c>
      <c r="AC65" s="27" t="s">
        <v>34</v>
      </c>
      <c r="AD65" s="27" t="s">
        <v>34</v>
      </c>
      <c r="AE65" s="27" t="s">
        <v>34</v>
      </c>
      <c r="AF65" s="29"/>
      <c r="AG65" s="27" t="s">
        <v>1812</v>
      </c>
      <c r="AH65" s="27">
        <v>58</v>
      </c>
      <c r="AI65" s="27" t="s">
        <v>34</v>
      </c>
      <c r="AJ65" s="27" t="s">
        <v>34</v>
      </c>
      <c r="AK65" s="27" t="s">
        <v>34</v>
      </c>
      <c r="AL65" s="29"/>
      <c r="AM65" s="27" t="s">
        <v>1812</v>
      </c>
      <c r="AN65" s="27">
        <v>58</v>
      </c>
      <c r="AO65" s="27" t="s">
        <v>34</v>
      </c>
      <c r="AP65" s="27" t="s">
        <v>34</v>
      </c>
      <c r="AQ65" s="27" t="s">
        <v>34</v>
      </c>
      <c r="AR65" s="29"/>
      <c r="AS65" s="27" t="s">
        <v>1812</v>
      </c>
      <c r="AT65" s="27">
        <v>58</v>
      </c>
      <c r="AU65" s="27" t="s">
        <v>34</v>
      </c>
      <c r="AV65" s="27" t="s">
        <v>34</v>
      </c>
      <c r="AW65" s="27" t="s">
        <v>34</v>
      </c>
      <c r="AX65" s="29"/>
      <c r="AY65" s="27" t="s">
        <v>1812</v>
      </c>
      <c r="AZ65" s="27">
        <v>58</v>
      </c>
      <c r="BA65" s="27" t="s">
        <v>34</v>
      </c>
      <c r="BB65" s="27" t="s">
        <v>34</v>
      </c>
      <c r="BC65" s="27" t="s">
        <v>34</v>
      </c>
      <c r="BD65" s="29"/>
      <c r="BE65" s="27" t="s">
        <v>1812</v>
      </c>
      <c r="BF65" s="27">
        <v>58</v>
      </c>
      <c r="BG65" s="27" t="s">
        <v>1815</v>
      </c>
      <c r="BH65" s="29"/>
      <c r="BI65" s="27" t="s">
        <v>1810</v>
      </c>
      <c r="BJ65" s="27" t="s">
        <v>1816</v>
      </c>
      <c r="BK65" s="27" t="s">
        <v>1812</v>
      </c>
      <c r="BL65" s="35"/>
      <c r="BM65" s="27" t="s">
        <v>34</v>
      </c>
      <c r="BN65" s="29"/>
      <c r="BO65" s="29"/>
      <c r="BP65" s="29"/>
    </row>
    <row r="66" spans="1:68" ht="30.75" customHeight="1" x14ac:dyDescent="0.15">
      <c r="A66" s="27">
        <v>1778</v>
      </c>
      <c r="B66" s="27" t="s">
        <v>976</v>
      </c>
      <c r="C66" s="27" t="s">
        <v>62</v>
      </c>
      <c r="D66" s="27">
        <v>2424</v>
      </c>
      <c r="E66" s="27" t="s">
        <v>34</v>
      </c>
      <c r="F66" s="27" t="s">
        <v>34</v>
      </c>
      <c r="G66" s="27" t="s">
        <v>34</v>
      </c>
      <c r="H66" s="29"/>
      <c r="I66" s="27" t="s">
        <v>62</v>
      </c>
      <c r="J66" s="27">
        <v>2424</v>
      </c>
      <c r="K66" s="27" t="s">
        <v>34</v>
      </c>
      <c r="L66" s="27" t="s">
        <v>34</v>
      </c>
      <c r="M66" s="27" t="s">
        <v>34</v>
      </c>
      <c r="N66" s="29"/>
      <c r="O66" s="27" t="s">
        <v>62</v>
      </c>
      <c r="P66" s="27">
        <v>2424</v>
      </c>
      <c r="Q66" s="27" t="s">
        <v>34</v>
      </c>
      <c r="R66" s="27" t="s">
        <v>34</v>
      </c>
      <c r="S66" s="27" t="s">
        <v>34</v>
      </c>
      <c r="T66" s="29"/>
      <c r="U66" s="27" t="s">
        <v>62</v>
      </c>
      <c r="V66" s="27">
        <v>2406</v>
      </c>
      <c r="W66" s="27" t="s">
        <v>1817</v>
      </c>
      <c r="X66" s="29"/>
      <c r="Y66" s="27" t="s">
        <v>1806</v>
      </c>
      <c r="Z66" s="27" t="s">
        <v>1818</v>
      </c>
      <c r="AA66" s="27" t="s">
        <v>62</v>
      </c>
      <c r="AB66" s="27">
        <v>2424</v>
      </c>
      <c r="AC66" s="27" t="s">
        <v>34</v>
      </c>
      <c r="AD66" s="27" t="s">
        <v>34</v>
      </c>
      <c r="AE66" s="27" t="s">
        <v>34</v>
      </c>
      <c r="AF66" s="29"/>
      <c r="AG66" s="27" t="s">
        <v>62</v>
      </c>
      <c r="AH66" s="27">
        <v>2424</v>
      </c>
      <c r="AI66" s="27" t="s">
        <v>34</v>
      </c>
      <c r="AJ66" s="27" t="s">
        <v>34</v>
      </c>
      <c r="AK66" s="27" t="s">
        <v>34</v>
      </c>
      <c r="AL66" s="29"/>
      <c r="AM66" s="27" t="s">
        <v>62</v>
      </c>
      <c r="AN66" s="27">
        <v>2424</v>
      </c>
      <c r="AO66" s="27" t="s">
        <v>34</v>
      </c>
      <c r="AP66" s="27" t="s">
        <v>34</v>
      </c>
      <c r="AQ66" s="27" t="s">
        <v>34</v>
      </c>
      <c r="AR66" s="29"/>
      <c r="AS66" s="27" t="s">
        <v>62</v>
      </c>
      <c r="AT66" s="27">
        <v>2424</v>
      </c>
      <c r="AU66" s="27" t="s">
        <v>34</v>
      </c>
      <c r="AV66" s="27" t="s">
        <v>34</v>
      </c>
      <c r="AW66" s="27" t="s">
        <v>34</v>
      </c>
      <c r="AX66" s="29"/>
      <c r="AY66" s="27" t="s">
        <v>62</v>
      </c>
      <c r="AZ66" s="27">
        <v>2424</v>
      </c>
      <c r="BA66" s="27" t="s">
        <v>34</v>
      </c>
      <c r="BB66" s="27" t="s">
        <v>34</v>
      </c>
      <c r="BC66" s="27" t="s">
        <v>34</v>
      </c>
      <c r="BD66" s="29"/>
      <c r="BE66" s="27" t="s">
        <v>62</v>
      </c>
      <c r="BF66" s="27">
        <v>2424</v>
      </c>
      <c r="BG66" s="27" t="s">
        <v>34</v>
      </c>
      <c r="BH66" s="27" t="s">
        <v>34</v>
      </c>
      <c r="BI66" s="27" t="s">
        <v>34</v>
      </c>
      <c r="BJ66" s="29"/>
      <c r="BK66" s="27" t="s">
        <v>62</v>
      </c>
      <c r="BL66" s="35"/>
      <c r="BM66" s="27" t="s">
        <v>34</v>
      </c>
      <c r="BN66" s="29"/>
      <c r="BO66" s="29"/>
      <c r="BP66" s="29"/>
    </row>
    <row r="67" spans="1:68" ht="43.5" customHeight="1" x14ac:dyDescent="0.15">
      <c r="A67" s="27">
        <v>3146</v>
      </c>
      <c r="B67" s="27" t="s">
        <v>993</v>
      </c>
      <c r="C67" s="27" t="s">
        <v>33</v>
      </c>
      <c r="D67" s="27">
        <v>211</v>
      </c>
      <c r="E67" s="27" t="s">
        <v>34</v>
      </c>
      <c r="F67" s="27" t="s">
        <v>34</v>
      </c>
      <c r="G67" s="27" t="s">
        <v>34</v>
      </c>
      <c r="H67" s="27" t="s">
        <v>1819</v>
      </c>
      <c r="I67" s="27" t="s">
        <v>33</v>
      </c>
      <c r="J67" s="27">
        <v>211</v>
      </c>
      <c r="K67" s="27" t="s">
        <v>34</v>
      </c>
      <c r="L67" s="27" t="s">
        <v>34</v>
      </c>
      <c r="M67" s="27" t="s">
        <v>34</v>
      </c>
      <c r="N67" s="29"/>
      <c r="O67" s="27" t="s">
        <v>33</v>
      </c>
      <c r="P67" s="27">
        <v>211</v>
      </c>
      <c r="Q67" s="27" t="s">
        <v>34</v>
      </c>
      <c r="R67" s="27" t="s">
        <v>34</v>
      </c>
      <c r="S67" s="27" t="s">
        <v>34</v>
      </c>
      <c r="T67" s="29"/>
      <c r="U67" s="27" t="s">
        <v>33</v>
      </c>
      <c r="V67" s="27">
        <v>211</v>
      </c>
      <c r="W67" s="27">
        <v>1</v>
      </c>
      <c r="X67" s="27" t="s">
        <v>1820</v>
      </c>
      <c r="Y67" s="27" t="s">
        <v>1821</v>
      </c>
      <c r="Z67" s="27" t="s">
        <v>1822</v>
      </c>
      <c r="AA67" s="27" t="s">
        <v>33</v>
      </c>
      <c r="AB67" s="27">
        <v>211</v>
      </c>
      <c r="AC67" s="27">
        <v>1</v>
      </c>
      <c r="AD67" s="27" t="s">
        <v>1823</v>
      </c>
      <c r="AE67" s="27" t="s">
        <v>1824</v>
      </c>
      <c r="AF67" s="27" t="s">
        <v>1822</v>
      </c>
      <c r="AG67" s="27" t="s">
        <v>33</v>
      </c>
      <c r="AH67" s="27">
        <v>211</v>
      </c>
      <c r="AI67" s="27" t="s">
        <v>34</v>
      </c>
      <c r="AJ67" s="27" t="s">
        <v>34</v>
      </c>
      <c r="AK67" s="27" t="s">
        <v>34</v>
      </c>
      <c r="AL67" s="29"/>
      <c r="AM67" s="27" t="s">
        <v>33</v>
      </c>
      <c r="AN67" s="27">
        <v>211</v>
      </c>
      <c r="AO67" s="27" t="s">
        <v>34</v>
      </c>
      <c r="AP67" s="27" t="s">
        <v>34</v>
      </c>
      <c r="AQ67" s="27" t="s">
        <v>34</v>
      </c>
      <c r="AR67" s="29"/>
      <c r="AS67" s="27" t="s">
        <v>33</v>
      </c>
      <c r="AT67" s="27">
        <v>211</v>
      </c>
      <c r="AU67" s="27" t="s">
        <v>34</v>
      </c>
      <c r="AV67" s="27" t="s">
        <v>34</v>
      </c>
      <c r="AW67" s="27" t="s">
        <v>34</v>
      </c>
      <c r="AX67" s="29"/>
      <c r="AY67" s="27" t="s">
        <v>33</v>
      </c>
      <c r="AZ67" s="27">
        <v>211</v>
      </c>
      <c r="BA67" s="27">
        <v>11</v>
      </c>
      <c r="BB67" s="27" t="s">
        <v>1825</v>
      </c>
      <c r="BC67" s="27" t="s">
        <v>1826</v>
      </c>
      <c r="BD67" s="27" t="s">
        <v>1822</v>
      </c>
      <c r="BE67" s="27" t="s">
        <v>33</v>
      </c>
      <c r="BF67" s="27">
        <v>211</v>
      </c>
      <c r="BG67" s="27">
        <v>5</v>
      </c>
      <c r="BH67" s="27" t="s">
        <v>34</v>
      </c>
      <c r="BI67" s="29" t="s">
        <v>1827</v>
      </c>
      <c r="BJ67" s="27" t="s">
        <v>1828</v>
      </c>
      <c r="BK67" s="27" t="s">
        <v>33</v>
      </c>
      <c r="BL67" s="27">
        <v>211</v>
      </c>
      <c r="BM67" s="27">
        <v>59</v>
      </c>
      <c r="BN67" s="27" t="s">
        <v>1829</v>
      </c>
      <c r="BO67" s="29" t="s">
        <v>1830</v>
      </c>
      <c r="BP67" s="27" t="s">
        <v>1831</v>
      </c>
    </row>
    <row r="68" spans="1:68" ht="15.75" customHeight="1" x14ac:dyDescent="0.15">
      <c r="A68" s="27">
        <v>3105</v>
      </c>
      <c r="B68" s="27" t="s">
        <v>1006</v>
      </c>
      <c r="C68" s="27" t="s">
        <v>33</v>
      </c>
      <c r="D68" s="27">
        <v>70</v>
      </c>
      <c r="E68" s="27" t="s">
        <v>34</v>
      </c>
      <c r="F68" s="27" t="s">
        <v>34</v>
      </c>
      <c r="G68" s="27" t="s">
        <v>34</v>
      </c>
      <c r="H68" s="29"/>
      <c r="I68" s="27" t="s">
        <v>33</v>
      </c>
      <c r="J68" s="27">
        <v>70</v>
      </c>
      <c r="K68" s="27" t="s">
        <v>34</v>
      </c>
      <c r="L68" s="27" t="s">
        <v>34</v>
      </c>
      <c r="M68" s="27" t="s">
        <v>34</v>
      </c>
      <c r="N68" s="29"/>
      <c r="O68" s="27" t="s">
        <v>33</v>
      </c>
      <c r="P68" s="27">
        <v>70</v>
      </c>
      <c r="Q68" s="27" t="s">
        <v>34</v>
      </c>
      <c r="R68" s="27" t="s">
        <v>34</v>
      </c>
      <c r="S68" s="27" t="s">
        <v>34</v>
      </c>
      <c r="T68" s="29"/>
      <c r="U68" s="27" t="s">
        <v>33</v>
      </c>
      <c r="V68" s="27">
        <v>70</v>
      </c>
      <c r="W68" s="27">
        <v>19</v>
      </c>
      <c r="X68" s="27" t="s">
        <v>34</v>
      </c>
      <c r="Y68" s="27" t="s">
        <v>1832</v>
      </c>
      <c r="Z68" s="29"/>
      <c r="AA68" s="27" t="s">
        <v>33</v>
      </c>
      <c r="AB68" s="27">
        <v>70</v>
      </c>
      <c r="AC68" s="27" t="s">
        <v>34</v>
      </c>
      <c r="AD68" s="27" t="s">
        <v>34</v>
      </c>
      <c r="AE68" s="27" t="s">
        <v>34</v>
      </c>
      <c r="AF68" s="29"/>
      <c r="AG68" s="27" t="s">
        <v>33</v>
      </c>
      <c r="AH68" s="27">
        <v>70</v>
      </c>
      <c r="AI68" s="27" t="s">
        <v>34</v>
      </c>
      <c r="AJ68" s="27" t="s">
        <v>34</v>
      </c>
      <c r="AK68" s="27" t="s">
        <v>34</v>
      </c>
      <c r="AL68" s="29"/>
      <c r="AM68" s="27" t="s">
        <v>33</v>
      </c>
      <c r="AN68" s="27">
        <v>70</v>
      </c>
      <c r="AO68" s="27" t="s">
        <v>34</v>
      </c>
      <c r="AP68" s="27" t="s">
        <v>34</v>
      </c>
      <c r="AQ68" s="27" t="s">
        <v>34</v>
      </c>
      <c r="AR68" s="29"/>
      <c r="AS68" s="27" t="s">
        <v>33</v>
      </c>
      <c r="AT68" s="27">
        <v>70</v>
      </c>
      <c r="AU68" s="27" t="s">
        <v>34</v>
      </c>
      <c r="AV68" s="27" t="s">
        <v>34</v>
      </c>
      <c r="AW68" s="27" t="s">
        <v>34</v>
      </c>
      <c r="AX68" s="29"/>
      <c r="AY68" s="27" t="s">
        <v>33</v>
      </c>
      <c r="AZ68" s="27">
        <v>70</v>
      </c>
      <c r="BA68" s="27" t="s">
        <v>34</v>
      </c>
      <c r="BB68" s="27" t="s">
        <v>34</v>
      </c>
      <c r="BC68" s="27" t="s">
        <v>34</v>
      </c>
      <c r="BD68" s="29"/>
      <c r="BE68" s="27" t="s">
        <v>33</v>
      </c>
      <c r="BF68" s="27">
        <v>70</v>
      </c>
      <c r="BG68" s="27" t="s">
        <v>34</v>
      </c>
      <c r="BH68" s="27" t="s">
        <v>34</v>
      </c>
      <c r="BI68" s="27" t="s">
        <v>34</v>
      </c>
      <c r="BJ68" s="29"/>
      <c r="BK68" s="27" t="s">
        <v>33</v>
      </c>
      <c r="BL68" s="27">
        <v>70</v>
      </c>
      <c r="BM68" s="27" t="s">
        <v>34</v>
      </c>
      <c r="BN68" s="27" t="s">
        <v>34</v>
      </c>
      <c r="BO68" s="27" t="s">
        <v>34</v>
      </c>
      <c r="BP68" s="29"/>
    </row>
    <row r="69" spans="1:68" ht="15.75" customHeight="1" x14ac:dyDescent="0.15">
      <c r="A69" s="27">
        <v>592</v>
      </c>
      <c r="B69" s="27" t="s">
        <v>1020</v>
      </c>
      <c r="C69" s="27" t="s">
        <v>1025</v>
      </c>
      <c r="D69" s="27">
        <v>1</v>
      </c>
      <c r="E69" s="27" t="s">
        <v>34</v>
      </c>
      <c r="F69" s="27" t="s">
        <v>34</v>
      </c>
      <c r="G69" s="27" t="s">
        <v>34</v>
      </c>
      <c r="H69" s="29"/>
      <c r="I69" s="27" t="s">
        <v>1025</v>
      </c>
      <c r="J69" s="27">
        <v>1</v>
      </c>
      <c r="K69" s="27" t="s">
        <v>34</v>
      </c>
      <c r="L69" s="27" t="s">
        <v>34</v>
      </c>
      <c r="M69" s="27" t="s">
        <v>34</v>
      </c>
      <c r="N69" s="29"/>
      <c r="O69" s="27" t="s">
        <v>1025</v>
      </c>
      <c r="P69" s="27">
        <v>1</v>
      </c>
      <c r="Q69" s="27" t="s">
        <v>34</v>
      </c>
      <c r="R69" s="27" t="s">
        <v>34</v>
      </c>
      <c r="S69" s="27" t="s">
        <v>34</v>
      </c>
      <c r="T69" s="29"/>
      <c r="U69" s="27" t="s">
        <v>1025</v>
      </c>
      <c r="V69" s="27">
        <v>1</v>
      </c>
      <c r="W69" s="27" t="s">
        <v>34</v>
      </c>
      <c r="X69" s="27" t="s">
        <v>34</v>
      </c>
      <c r="Y69" s="27" t="s">
        <v>34</v>
      </c>
      <c r="Z69" s="29"/>
      <c r="AA69" s="27" t="s">
        <v>1025</v>
      </c>
      <c r="AB69" s="27">
        <v>1</v>
      </c>
      <c r="AC69" s="27" t="s">
        <v>34</v>
      </c>
      <c r="AD69" s="27" t="s">
        <v>34</v>
      </c>
      <c r="AE69" s="27" t="s">
        <v>34</v>
      </c>
      <c r="AF69" s="29"/>
      <c r="AG69" s="27" t="s">
        <v>1025</v>
      </c>
      <c r="AH69" s="27">
        <v>1</v>
      </c>
      <c r="AI69" s="27" t="s">
        <v>34</v>
      </c>
      <c r="AJ69" s="27" t="s">
        <v>34</v>
      </c>
      <c r="AK69" s="27" t="s">
        <v>34</v>
      </c>
      <c r="AL69" s="29"/>
      <c r="AM69" s="27" t="s">
        <v>1025</v>
      </c>
      <c r="AN69" s="27">
        <v>1</v>
      </c>
      <c r="AO69" s="27" t="s">
        <v>34</v>
      </c>
      <c r="AP69" s="27" t="s">
        <v>34</v>
      </c>
      <c r="AQ69" s="27" t="s">
        <v>34</v>
      </c>
      <c r="AR69" s="29"/>
      <c r="AS69" s="27" t="s">
        <v>1025</v>
      </c>
      <c r="AT69" s="27">
        <v>1</v>
      </c>
      <c r="AU69" s="27" t="s">
        <v>34</v>
      </c>
      <c r="AV69" s="27" t="s">
        <v>34</v>
      </c>
      <c r="AW69" s="27" t="s">
        <v>34</v>
      </c>
      <c r="AX69" s="29"/>
      <c r="AY69" s="27" t="s">
        <v>1025</v>
      </c>
      <c r="AZ69" s="27">
        <v>1</v>
      </c>
      <c r="BA69" s="27" t="s">
        <v>34</v>
      </c>
      <c r="BB69" s="27" t="s">
        <v>34</v>
      </c>
      <c r="BC69" s="27" t="s">
        <v>34</v>
      </c>
      <c r="BD69" s="29"/>
      <c r="BE69" s="27" t="s">
        <v>1025</v>
      </c>
      <c r="BF69" s="27">
        <v>1</v>
      </c>
      <c r="BG69" s="27" t="s">
        <v>34</v>
      </c>
      <c r="BH69" s="27" t="s">
        <v>34</v>
      </c>
      <c r="BI69" s="27" t="s">
        <v>34</v>
      </c>
      <c r="BJ69" s="29"/>
      <c r="BK69" s="27" t="s">
        <v>1025</v>
      </c>
      <c r="BL69" s="27">
        <v>1</v>
      </c>
      <c r="BM69" s="27">
        <v>1</v>
      </c>
      <c r="BN69" s="27" t="s">
        <v>34</v>
      </c>
      <c r="BO69" s="27" t="s">
        <v>1833</v>
      </c>
      <c r="BP69" s="29" t="s">
        <v>1834</v>
      </c>
    </row>
    <row r="70" spans="1:68" ht="15.75" customHeight="1" x14ac:dyDescent="0.15">
      <c r="A70" s="27">
        <v>592</v>
      </c>
      <c r="B70" s="27" t="s">
        <v>1020</v>
      </c>
      <c r="C70" s="27" t="s">
        <v>1030</v>
      </c>
      <c r="D70" s="27">
        <v>1</v>
      </c>
      <c r="E70" s="27" t="s">
        <v>34</v>
      </c>
      <c r="F70" s="27" t="s">
        <v>34</v>
      </c>
      <c r="G70" s="27" t="s">
        <v>34</v>
      </c>
      <c r="H70" s="29"/>
      <c r="I70" s="27" t="s">
        <v>1030</v>
      </c>
      <c r="J70" s="27">
        <v>1</v>
      </c>
      <c r="K70" s="27" t="s">
        <v>34</v>
      </c>
      <c r="L70" s="27" t="s">
        <v>34</v>
      </c>
      <c r="M70" s="27" t="s">
        <v>34</v>
      </c>
      <c r="N70" s="29"/>
      <c r="O70" s="27" t="s">
        <v>1030</v>
      </c>
      <c r="P70" s="27">
        <v>1</v>
      </c>
      <c r="Q70" s="27" t="s">
        <v>34</v>
      </c>
      <c r="R70" s="27" t="s">
        <v>34</v>
      </c>
      <c r="S70" s="27" t="s">
        <v>34</v>
      </c>
      <c r="T70" s="29"/>
      <c r="U70" s="27" t="s">
        <v>1030</v>
      </c>
      <c r="V70" s="27">
        <v>1</v>
      </c>
      <c r="W70" s="27" t="s">
        <v>34</v>
      </c>
      <c r="X70" s="27" t="s">
        <v>34</v>
      </c>
      <c r="Y70" s="27" t="s">
        <v>34</v>
      </c>
      <c r="Z70" s="29"/>
      <c r="AA70" s="27" t="s">
        <v>1030</v>
      </c>
      <c r="AB70" s="27">
        <v>1</v>
      </c>
      <c r="AC70" s="27" t="s">
        <v>34</v>
      </c>
      <c r="AD70" s="27" t="s">
        <v>34</v>
      </c>
      <c r="AE70" s="27" t="s">
        <v>34</v>
      </c>
      <c r="AF70" s="29"/>
      <c r="AG70" s="27" t="s">
        <v>1030</v>
      </c>
      <c r="AH70" s="27">
        <v>1</v>
      </c>
      <c r="AI70" s="27" t="s">
        <v>34</v>
      </c>
      <c r="AJ70" s="27" t="s">
        <v>34</v>
      </c>
      <c r="AK70" s="27" t="s">
        <v>34</v>
      </c>
      <c r="AL70" s="29"/>
      <c r="AM70" s="27" t="s">
        <v>1030</v>
      </c>
      <c r="AN70" s="27">
        <v>1</v>
      </c>
      <c r="AO70" s="27" t="s">
        <v>34</v>
      </c>
      <c r="AP70" s="27" t="s">
        <v>34</v>
      </c>
      <c r="AQ70" s="27" t="s">
        <v>34</v>
      </c>
      <c r="AR70" s="29"/>
      <c r="AS70" s="27" t="s">
        <v>1030</v>
      </c>
      <c r="AT70" s="27">
        <v>1</v>
      </c>
      <c r="AU70" s="27" t="s">
        <v>34</v>
      </c>
      <c r="AV70" s="27" t="s">
        <v>34</v>
      </c>
      <c r="AW70" s="27" t="s">
        <v>34</v>
      </c>
      <c r="AX70" s="29"/>
      <c r="AY70" s="27" t="s">
        <v>1030</v>
      </c>
      <c r="AZ70" s="27">
        <v>1</v>
      </c>
      <c r="BA70" s="27" t="s">
        <v>34</v>
      </c>
      <c r="BB70" s="27" t="s">
        <v>34</v>
      </c>
      <c r="BC70" s="27" t="s">
        <v>34</v>
      </c>
      <c r="BD70" s="29"/>
      <c r="BE70" s="27" t="s">
        <v>1030</v>
      </c>
      <c r="BF70" s="27">
        <v>1</v>
      </c>
      <c r="BG70" s="27" t="s">
        <v>34</v>
      </c>
      <c r="BH70" s="27" t="s">
        <v>34</v>
      </c>
      <c r="BI70" s="27" t="s">
        <v>34</v>
      </c>
      <c r="BJ70" s="29"/>
      <c r="BK70" s="27" t="s">
        <v>1030</v>
      </c>
      <c r="BL70" s="27">
        <v>1</v>
      </c>
      <c r="BM70" s="27">
        <v>1</v>
      </c>
      <c r="BN70" s="27" t="s">
        <v>34</v>
      </c>
      <c r="BO70" s="27" t="s">
        <v>1835</v>
      </c>
      <c r="BP70" s="29" t="s">
        <v>1836</v>
      </c>
    </row>
    <row r="71" spans="1:68" ht="59.25" customHeight="1" x14ac:dyDescent="0.15">
      <c r="A71" s="27">
        <v>3923</v>
      </c>
      <c r="B71" s="27" t="s">
        <v>1033</v>
      </c>
      <c r="C71" s="27" t="s">
        <v>33</v>
      </c>
      <c r="D71" s="28">
        <v>1185</v>
      </c>
      <c r="E71" s="27" t="s">
        <v>34</v>
      </c>
      <c r="F71" s="27" t="s">
        <v>34</v>
      </c>
      <c r="G71" s="27" t="s">
        <v>34</v>
      </c>
      <c r="H71" s="29"/>
      <c r="I71" s="27" t="s">
        <v>33</v>
      </c>
      <c r="J71" s="27">
        <v>270</v>
      </c>
      <c r="K71" s="27">
        <v>16</v>
      </c>
      <c r="L71" s="27" t="s">
        <v>34</v>
      </c>
      <c r="M71" s="27" t="s">
        <v>1837</v>
      </c>
      <c r="N71" s="29"/>
      <c r="O71" s="27" t="s">
        <v>33</v>
      </c>
      <c r="P71" s="27">
        <v>270</v>
      </c>
      <c r="Q71" s="27">
        <v>8</v>
      </c>
      <c r="R71" s="27" t="s">
        <v>34</v>
      </c>
      <c r="S71" s="27" t="s">
        <v>1838</v>
      </c>
      <c r="T71" s="29"/>
      <c r="U71" s="27" t="s">
        <v>33</v>
      </c>
      <c r="V71" s="27">
        <v>270</v>
      </c>
      <c r="W71" s="27" t="s">
        <v>34</v>
      </c>
      <c r="X71" s="27" t="s">
        <v>34</v>
      </c>
      <c r="Y71" s="27" t="s">
        <v>34</v>
      </c>
      <c r="Z71" s="29"/>
      <c r="AA71" s="27" t="s">
        <v>33</v>
      </c>
      <c r="AB71" s="27">
        <v>275</v>
      </c>
      <c r="AC71" s="27">
        <v>15</v>
      </c>
      <c r="AD71" s="27" t="s">
        <v>34</v>
      </c>
      <c r="AE71" s="27" t="s">
        <v>1839</v>
      </c>
      <c r="AF71" s="29"/>
      <c r="AG71" s="27" t="s">
        <v>33</v>
      </c>
      <c r="AH71" s="27">
        <v>275</v>
      </c>
      <c r="AI71" s="27" t="s">
        <v>34</v>
      </c>
      <c r="AJ71" s="27" t="s">
        <v>34</v>
      </c>
      <c r="AK71" s="27" t="s">
        <v>34</v>
      </c>
      <c r="AL71" s="29"/>
      <c r="AM71" s="27" t="s">
        <v>33</v>
      </c>
      <c r="AN71" s="27">
        <v>275</v>
      </c>
      <c r="AO71" s="27" t="s">
        <v>1840</v>
      </c>
      <c r="AP71" s="27" t="s">
        <v>34</v>
      </c>
      <c r="AQ71" s="27" t="s">
        <v>34</v>
      </c>
      <c r="AR71" s="29"/>
      <c r="AS71" s="27" t="s">
        <v>33</v>
      </c>
      <c r="AT71" s="27">
        <v>275</v>
      </c>
      <c r="AU71" s="27">
        <v>7</v>
      </c>
      <c r="AV71" s="27" t="s">
        <v>34</v>
      </c>
      <c r="AW71" s="27" t="s">
        <v>1841</v>
      </c>
      <c r="AX71" s="29"/>
      <c r="AY71" s="27" t="s">
        <v>33</v>
      </c>
      <c r="AZ71" s="27">
        <v>275</v>
      </c>
      <c r="BA71" s="27" t="s">
        <v>1842</v>
      </c>
      <c r="BB71" s="27" t="s">
        <v>34</v>
      </c>
      <c r="BC71" s="29" t="s">
        <v>1843</v>
      </c>
      <c r="BD71" s="29"/>
      <c r="BE71" s="27" t="s">
        <v>33</v>
      </c>
      <c r="BF71" s="28">
        <v>1182</v>
      </c>
      <c r="BG71" s="27">
        <v>75</v>
      </c>
      <c r="BH71" s="27" t="s">
        <v>34</v>
      </c>
      <c r="BI71" s="27" t="s">
        <v>1844</v>
      </c>
      <c r="BJ71" s="27" t="s">
        <v>1845</v>
      </c>
      <c r="BK71" s="27" t="s">
        <v>33</v>
      </c>
      <c r="BL71" s="28">
        <v>1182</v>
      </c>
      <c r="BM71" s="27">
        <v>114</v>
      </c>
      <c r="BN71" s="27" t="s">
        <v>34</v>
      </c>
      <c r="BO71" s="27" t="s">
        <v>1846</v>
      </c>
      <c r="BP71" s="27" t="s">
        <v>1847</v>
      </c>
    </row>
    <row r="72" spans="1:68" ht="40.5" customHeight="1" x14ac:dyDescent="0.15">
      <c r="A72" s="27">
        <v>375</v>
      </c>
      <c r="B72" s="27" t="s">
        <v>634</v>
      </c>
      <c r="C72" s="27" t="s">
        <v>33</v>
      </c>
      <c r="D72" s="35"/>
      <c r="E72" s="29" t="s">
        <v>34</v>
      </c>
      <c r="F72" s="27" t="s">
        <v>34</v>
      </c>
      <c r="G72" s="27" t="s">
        <v>34</v>
      </c>
      <c r="H72" s="29"/>
      <c r="I72" s="29" t="s">
        <v>33</v>
      </c>
      <c r="J72" s="29"/>
      <c r="K72" s="29" t="s">
        <v>34</v>
      </c>
      <c r="L72" s="27" t="s">
        <v>34</v>
      </c>
      <c r="M72" s="27" t="s">
        <v>34</v>
      </c>
      <c r="N72" s="29"/>
      <c r="O72" s="29" t="s">
        <v>33</v>
      </c>
      <c r="P72" s="29"/>
      <c r="Q72" s="29" t="s">
        <v>34</v>
      </c>
      <c r="R72" s="27" t="s">
        <v>34</v>
      </c>
      <c r="S72" s="27" t="s">
        <v>34</v>
      </c>
      <c r="T72" s="29"/>
      <c r="U72" s="27" t="s">
        <v>33</v>
      </c>
      <c r="V72" s="35">
        <v>41781</v>
      </c>
      <c r="W72" s="35">
        <v>2392</v>
      </c>
      <c r="X72" s="29" t="s">
        <v>34</v>
      </c>
      <c r="Y72" s="29" t="s">
        <v>1848</v>
      </c>
      <c r="Z72" s="29" t="s">
        <v>1849</v>
      </c>
      <c r="AA72" s="27" t="s">
        <v>33</v>
      </c>
      <c r="AB72" s="35"/>
      <c r="AC72" s="35" t="s">
        <v>34</v>
      </c>
      <c r="AD72" s="29" t="s">
        <v>34</v>
      </c>
      <c r="AE72" s="29" t="s">
        <v>34</v>
      </c>
      <c r="AF72" s="29"/>
      <c r="AG72" s="29" t="s">
        <v>33</v>
      </c>
      <c r="AH72" s="29" t="s">
        <v>34</v>
      </c>
      <c r="AI72" s="35" t="s">
        <v>34</v>
      </c>
      <c r="AJ72" s="29" t="s">
        <v>34</v>
      </c>
      <c r="AK72" s="29" t="s">
        <v>34</v>
      </c>
      <c r="AL72" s="29"/>
      <c r="AM72" s="27" t="s">
        <v>33</v>
      </c>
      <c r="AN72" s="35"/>
      <c r="AO72" s="27" t="s">
        <v>34</v>
      </c>
      <c r="AP72" s="27" t="s">
        <v>34</v>
      </c>
      <c r="AQ72" s="27" t="s">
        <v>34</v>
      </c>
      <c r="AR72" s="29"/>
      <c r="AS72" s="27" t="s">
        <v>33</v>
      </c>
      <c r="AT72" s="35">
        <v>41781</v>
      </c>
      <c r="AU72" s="27" t="s">
        <v>34</v>
      </c>
      <c r="AV72" s="35" t="s">
        <v>34</v>
      </c>
      <c r="AW72" s="29" t="s">
        <v>34</v>
      </c>
      <c r="AX72" s="27"/>
      <c r="AY72" s="27" t="s">
        <v>33</v>
      </c>
      <c r="AZ72" s="35">
        <v>41781</v>
      </c>
      <c r="BA72" s="35" t="s">
        <v>34</v>
      </c>
      <c r="BB72" s="29" t="s">
        <v>34</v>
      </c>
      <c r="BC72" s="29"/>
      <c r="BD72" s="27"/>
      <c r="BE72" s="29" t="s">
        <v>33</v>
      </c>
      <c r="BF72" s="29"/>
      <c r="BG72" s="35" t="s">
        <v>34</v>
      </c>
      <c r="BH72" s="29" t="s">
        <v>34</v>
      </c>
      <c r="BI72" s="29" t="s">
        <v>34</v>
      </c>
      <c r="BJ72" s="29"/>
      <c r="BK72" s="29" t="s">
        <v>33</v>
      </c>
      <c r="BL72" s="29"/>
      <c r="BM72" s="35" t="s">
        <v>34</v>
      </c>
      <c r="BN72" s="29" t="s">
        <v>34</v>
      </c>
      <c r="BO72" s="29" t="s">
        <v>34</v>
      </c>
      <c r="BP72" s="29"/>
    </row>
    <row r="73" spans="1:68" ht="54.75" customHeight="1" x14ac:dyDescent="0.15">
      <c r="A73" s="27">
        <v>375</v>
      </c>
      <c r="B73" s="27" t="s">
        <v>634</v>
      </c>
      <c r="C73" s="27" t="s">
        <v>46</v>
      </c>
      <c r="D73" s="35"/>
      <c r="E73" s="29" t="s">
        <v>34</v>
      </c>
      <c r="F73" s="27" t="s">
        <v>34</v>
      </c>
      <c r="G73" s="27" t="s">
        <v>34</v>
      </c>
      <c r="H73" s="29"/>
      <c r="I73" s="29" t="s">
        <v>46</v>
      </c>
      <c r="J73" s="29"/>
      <c r="K73" s="29" t="s">
        <v>34</v>
      </c>
      <c r="L73" s="27" t="s">
        <v>34</v>
      </c>
      <c r="M73" s="27" t="s">
        <v>34</v>
      </c>
      <c r="N73" s="29"/>
      <c r="O73" s="29" t="s">
        <v>46</v>
      </c>
      <c r="P73" s="29"/>
      <c r="Q73" s="29" t="s">
        <v>34</v>
      </c>
      <c r="R73" s="27" t="s">
        <v>34</v>
      </c>
      <c r="S73" s="27" t="s">
        <v>34</v>
      </c>
      <c r="T73" s="29"/>
      <c r="U73" s="27" t="s">
        <v>46</v>
      </c>
      <c r="V73" s="35">
        <v>43826</v>
      </c>
      <c r="W73" s="35">
        <v>3909</v>
      </c>
      <c r="X73" s="29"/>
      <c r="Y73" s="29"/>
      <c r="Z73" s="29"/>
      <c r="AA73" s="27" t="s">
        <v>46</v>
      </c>
      <c r="AB73" s="35"/>
      <c r="AC73" s="35" t="s">
        <v>34</v>
      </c>
      <c r="AD73" s="29" t="s">
        <v>34</v>
      </c>
      <c r="AE73" s="29" t="s">
        <v>34</v>
      </c>
      <c r="AF73" s="29"/>
      <c r="AG73" s="29" t="s">
        <v>46</v>
      </c>
      <c r="AH73" s="29"/>
      <c r="AI73" s="35" t="s">
        <v>34</v>
      </c>
      <c r="AJ73" s="29" t="s">
        <v>34</v>
      </c>
      <c r="AK73" s="29" t="s">
        <v>34</v>
      </c>
      <c r="AL73" s="29"/>
      <c r="AM73" s="27" t="s">
        <v>46</v>
      </c>
      <c r="AN73" s="35"/>
      <c r="AO73" s="27" t="s">
        <v>34</v>
      </c>
      <c r="AP73" s="27" t="s">
        <v>34</v>
      </c>
      <c r="AQ73" s="27" t="s">
        <v>34</v>
      </c>
      <c r="AR73" s="29"/>
      <c r="AS73" s="27" t="s">
        <v>46</v>
      </c>
      <c r="AT73" s="35">
        <v>43826</v>
      </c>
      <c r="AU73" s="27" t="s">
        <v>34</v>
      </c>
      <c r="AV73" s="35" t="s">
        <v>34</v>
      </c>
      <c r="AW73" s="29" t="s">
        <v>34</v>
      </c>
      <c r="AX73" s="27"/>
      <c r="AY73" s="27" t="s">
        <v>46</v>
      </c>
      <c r="AZ73" s="35">
        <v>43826</v>
      </c>
      <c r="BA73" s="35" t="s">
        <v>34</v>
      </c>
      <c r="BB73" s="29" t="s">
        <v>34</v>
      </c>
      <c r="BC73" s="29"/>
      <c r="BD73" s="27"/>
      <c r="BE73" s="29" t="s">
        <v>46</v>
      </c>
      <c r="BF73" s="29"/>
      <c r="BG73" s="35" t="s">
        <v>34</v>
      </c>
      <c r="BH73" s="29" t="s">
        <v>34</v>
      </c>
      <c r="BI73" s="29" t="s">
        <v>34</v>
      </c>
      <c r="BJ73" s="29"/>
      <c r="BK73" s="29" t="s">
        <v>46</v>
      </c>
      <c r="BL73" s="29"/>
      <c r="BM73" s="35" t="s">
        <v>34</v>
      </c>
      <c r="BN73" s="29" t="s">
        <v>34</v>
      </c>
      <c r="BO73" s="29" t="s">
        <v>34</v>
      </c>
      <c r="BP73" s="29"/>
    </row>
    <row r="74" spans="1:68" ht="15.75" customHeight="1" x14ac:dyDescent="0.15">
      <c r="A74" s="34">
        <v>1283</v>
      </c>
      <c r="B74" s="27" t="s">
        <v>1043</v>
      </c>
      <c r="C74" s="27" t="s">
        <v>60</v>
      </c>
      <c r="D74" s="34">
        <v>374</v>
      </c>
      <c r="E74" s="34">
        <v>2</v>
      </c>
      <c r="F74" s="27" t="s">
        <v>34</v>
      </c>
      <c r="G74" s="27" t="s">
        <v>1850</v>
      </c>
      <c r="H74" s="27" t="s">
        <v>1851</v>
      </c>
      <c r="I74" s="27" t="s">
        <v>60</v>
      </c>
      <c r="J74" s="34">
        <v>374</v>
      </c>
      <c r="K74" s="27" t="s">
        <v>34</v>
      </c>
      <c r="L74" s="27" t="s">
        <v>34</v>
      </c>
      <c r="M74" s="27" t="s">
        <v>34</v>
      </c>
      <c r="N74" s="29"/>
      <c r="O74" s="27" t="s">
        <v>60</v>
      </c>
      <c r="P74" s="34">
        <v>374</v>
      </c>
      <c r="Q74" s="27" t="s">
        <v>34</v>
      </c>
      <c r="R74" s="27" t="s">
        <v>34</v>
      </c>
      <c r="S74" s="27" t="s">
        <v>34</v>
      </c>
      <c r="T74" s="29"/>
      <c r="U74" s="27" t="s">
        <v>60</v>
      </c>
      <c r="V74" s="34">
        <v>374</v>
      </c>
      <c r="W74" s="27" t="s">
        <v>34</v>
      </c>
      <c r="X74" s="27" t="s">
        <v>34</v>
      </c>
      <c r="Y74" s="27" t="s">
        <v>34</v>
      </c>
      <c r="Z74" s="29"/>
      <c r="AA74" s="27" t="s">
        <v>60</v>
      </c>
      <c r="AB74" s="34">
        <v>374</v>
      </c>
      <c r="AC74" s="27" t="s">
        <v>34</v>
      </c>
      <c r="AD74" s="27" t="s">
        <v>34</v>
      </c>
      <c r="AE74" s="27" t="s">
        <v>34</v>
      </c>
      <c r="AF74" s="29"/>
      <c r="AG74" s="27" t="s">
        <v>60</v>
      </c>
      <c r="AH74" s="34">
        <v>374</v>
      </c>
      <c r="AI74" s="27" t="s">
        <v>34</v>
      </c>
      <c r="AJ74" s="27" t="s">
        <v>34</v>
      </c>
      <c r="AK74" s="27" t="s">
        <v>34</v>
      </c>
      <c r="AL74" s="29"/>
      <c r="AM74" s="27" t="s">
        <v>60</v>
      </c>
      <c r="AN74" s="34">
        <v>374</v>
      </c>
      <c r="AO74" s="27" t="s">
        <v>34</v>
      </c>
      <c r="AP74" s="27" t="s">
        <v>34</v>
      </c>
      <c r="AQ74" s="27" t="s">
        <v>34</v>
      </c>
      <c r="AR74" s="29"/>
      <c r="AS74" s="27" t="s">
        <v>60</v>
      </c>
      <c r="AT74" s="34">
        <v>374</v>
      </c>
      <c r="AU74" s="27" t="s">
        <v>34</v>
      </c>
      <c r="AV74" s="27" t="s">
        <v>34</v>
      </c>
      <c r="AW74" s="27" t="s">
        <v>34</v>
      </c>
      <c r="AX74" s="29"/>
      <c r="AY74" s="27" t="s">
        <v>60</v>
      </c>
      <c r="AZ74" s="34">
        <v>374</v>
      </c>
      <c r="BA74" s="27" t="s">
        <v>34</v>
      </c>
      <c r="BB74" s="27" t="s">
        <v>34</v>
      </c>
      <c r="BC74" s="27" t="s">
        <v>34</v>
      </c>
      <c r="BD74" s="29"/>
      <c r="BE74" s="27" t="s">
        <v>60</v>
      </c>
      <c r="BF74" s="34">
        <v>374</v>
      </c>
      <c r="BG74" s="34">
        <v>0</v>
      </c>
      <c r="BH74" s="27" t="s">
        <v>34</v>
      </c>
      <c r="BI74" s="27" t="s">
        <v>1852</v>
      </c>
      <c r="BJ74" s="27" t="s">
        <v>1853</v>
      </c>
      <c r="BK74" s="27" t="s">
        <v>60</v>
      </c>
      <c r="BL74" s="34">
        <v>374</v>
      </c>
      <c r="BM74" s="34">
        <v>275</v>
      </c>
      <c r="BN74" s="27" t="s">
        <v>34</v>
      </c>
      <c r="BO74" s="27" t="s">
        <v>1854</v>
      </c>
      <c r="BP74" s="29" t="s">
        <v>1855</v>
      </c>
    </row>
    <row r="75" spans="1:68" ht="80.25" customHeight="1" x14ac:dyDescent="0.15">
      <c r="A75" s="27">
        <v>762</v>
      </c>
      <c r="B75" s="27" t="s">
        <v>1057</v>
      </c>
      <c r="C75" s="27" t="s">
        <v>33</v>
      </c>
      <c r="D75" s="27">
        <v>79</v>
      </c>
      <c r="E75" s="27">
        <v>0</v>
      </c>
      <c r="F75" s="27" t="s">
        <v>34</v>
      </c>
      <c r="G75" s="27" t="s">
        <v>1559</v>
      </c>
      <c r="H75" s="29"/>
      <c r="I75" s="27" t="s">
        <v>33</v>
      </c>
      <c r="J75" s="27">
        <v>80</v>
      </c>
      <c r="K75" s="27" t="s">
        <v>34</v>
      </c>
      <c r="L75" s="27" t="s">
        <v>34</v>
      </c>
      <c r="M75" s="27" t="s">
        <v>34</v>
      </c>
      <c r="N75" s="29"/>
      <c r="O75" s="27" t="s">
        <v>33</v>
      </c>
      <c r="P75" s="27">
        <v>79</v>
      </c>
      <c r="Q75" s="27">
        <v>0</v>
      </c>
      <c r="R75" s="27" t="s">
        <v>34</v>
      </c>
      <c r="S75" s="27" t="s">
        <v>1856</v>
      </c>
      <c r="T75" s="29"/>
      <c r="U75" s="27" t="s">
        <v>33</v>
      </c>
      <c r="V75" s="27">
        <v>79</v>
      </c>
      <c r="W75" s="27">
        <v>0</v>
      </c>
      <c r="X75" s="27" t="s">
        <v>34</v>
      </c>
      <c r="Y75" s="27" t="s">
        <v>1857</v>
      </c>
      <c r="Z75" s="29"/>
      <c r="AA75" s="27" t="s">
        <v>33</v>
      </c>
      <c r="AB75" s="27">
        <v>79</v>
      </c>
      <c r="AC75" s="27" t="s">
        <v>1858</v>
      </c>
      <c r="AD75" s="27" t="s">
        <v>34</v>
      </c>
      <c r="AE75" s="27" t="s">
        <v>34</v>
      </c>
      <c r="AF75" s="29"/>
      <c r="AG75" s="27" t="s">
        <v>33</v>
      </c>
      <c r="AH75" s="27">
        <v>80</v>
      </c>
      <c r="AI75" s="27" t="s">
        <v>34</v>
      </c>
      <c r="AJ75" s="27" t="s">
        <v>34</v>
      </c>
      <c r="AK75" s="27" t="s">
        <v>34</v>
      </c>
      <c r="AL75" s="29"/>
      <c r="AM75" s="27" t="s">
        <v>33</v>
      </c>
      <c r="AN75" s="27">
        <v>79</v>
      </c>
      <c r="AO75" s="27">
        <v>0</v>
      </c>
      <c r="AP75" s="27" t="s">
        <v>34</v>
      </c>
      <c r="AQ75" s="27" t="s">
        <v>1859</v>
      </c>
      <c r="AR75" s="29"/>
      <c r="AS75" s="27" t="s">
        <v>33</v>
      </c>
      <c r="AT75" s="27">
        <v>79</v>
      </c>
      <c r="AU75" s="27">
        <v>3</v>
      </c>
      <c r="AV75" s="27" t="s">
        <v>34</v>
      </c>
      <c r="AW75" s="27" t="s">
        <v>34</v>
      </c>
      <c r="AX75" s="29"/>
      <c r="AY75" s="27" t="s">
        <v>33</v>
      </c>
      <c r="AZ75" s="27">
        <v>79</v>
      </c>
      <c r="BA75" s="29">
        <v>12</v>
      </c>
      <c r="BB75" s="27" t="s">
        <v>34</v>
      </c>
      <c r="BC75" s="29" t="s">
        <v>1860</v>
      </c>
      <c r="BD75" s="29"/>
      <c r="BE75" s="27" t="s">
        <v>33</v>
      </c>
      <c r="BF75" s="27">
        <v>80</v>
      </c>
      <c r="BG75" s="27">
        <v>9</v>
      </c>
      <c r="BH75" s="27" t="s">
        <v>34</v>
      </c>
      <c r="BI75" s="29" t="s">
        <v>1861</v>
      </c>
      <c r="BJ75" s="29"/>
      <c r="BK75" s="27" t="s">
        <v>33</v>
      </c>
      <c r="BL75" s="27">
        <v>80</v>
      </c>
      <c r="BM75" s="27" t="s">
        <v>34</v>
      </c>
      <c r="BN75" s="27" t="s">
        <v>34</v>
      </c>
      <c r="BO75" s="27" t="s">
        <v>34</v>
      </c>
      <c r="BP75" s="29"/>
    </row>
    <row r="76" spans="1:68" ht="205.5" customHeight="1" x14ac:dyDescent="0.15">
      <c r="A76" s="34">
        <v>3002</v>
      </c>
      <c r="B76" s="27" t="s">
        <v>1090</v>
      </c>
      <c r="C76" s="27" t="s">
        <v>1106</v>
      </c>
      <c r="D76" s="34">
        <v>91</v>
      </c>
      <c r="E76" s="27" t="s">
        <v>34</v>
      </c>
      <c r="F76" s="27" t="s">
        <v>34</v>
      </c>
      <c r="G76" s="27" t="s">
        <v>34</v>
      </c>
      <c r="H76" s="29"/>
      <c r="I76" s="27" t="s">
        <v>1106</v>
      </c>
      <c r="J76" s="34">
        <v>91</v>
      </c>
      <c r="K76" s="27" t="s">
        <v>34</v>
      </c>
      <c r="L76" s="27" t="s">
        <v>34</v>
      </c>
      <c r="M76" s="27" t="s">
        <v>34</v>
      </c>
      <c r="N76" s="29"/>
      <c r="O76" s="27" t="s">
        <v>1106</v>
      </c>
      <c r="P76" s="34">
        <v>91</v>
      </c>
      <c r="Q76" s="34">
        <v>0</v>
      </c>
      <c r="R76" s="27" t="s">
        <v>34</v>
      </c>
      <c r="S76" s="27" t="s">
        <v>1862</v>
      </c>
      <c r="T76" s="29"/>
      <c r="U76" s="27" t="s">
        <v>1106</v>
      </c>
      <c r="V76" s="34">
        <v>91</v>
      </c>
      <c r="W76" s="34">
        <v>1</v>
      </c>
      <c r="X76" s="27" t="s">
        <v>34</v>
      </c>
      <c r="Y76" s="27" t="s">
        <v>1863</v>
      </c>
      <c r="Z76" s="29"/>
      <c r="AA76" s="27" t="s">
        <v>1106</v>
      </c>
      <c r="AB76" s="34">
        <v>91</v>
      </c>
      <c r="AC76" s="29" t="s">
        <v>1864</v>
      </c>
      <c r="AD76" s="27" t="s">
        <v>34</v>
      </c>
      <c r="AE76" s="27" t="s">
        <v>34</v>
      </c>
      <c r="AF76" s="29"/>
      <c r="AG76" s="27" t="s">
        <v>1106</v>
      </c>
      <c r="AH76" s="34">
        <v>91</v>
      </c>
      <c r="AI76" s="27" t="s">
        <v>34</v>
      </c>
      <c r="AJ76" s="27" t="s">
        <v>34</v>
      </c>
      <c r="AK76" s="27" t="s">
        <v>34</v>
      </c>
      <c r="AL76" s="29"/>
      <c r="AM76" s="27" t="s">
        <v>1106</v>
      </c>
      <c r="AN76" s="34">
        <v>91</v>
      </c>
      <c r="AO76" s="27" t="s">
        <v>34</v>
      </c>
      <c r="AP76" s="27" t="s">
        <v>34</v>
      </c>
      <c r="AQ76" s="27" t="s">
        <v>34</v>
      </c>
      <c r="AR76" s="29"/>
      <c r="AS76" s="27" t="s">
        <v>1106</v>
      </c>
      <c r="AT76" s="34">
        <v>91</v>
      </c>
      <c r="AU76" s="34">
        <v>1</v>
      </c>
      <c r="AV76" s="27" t="s">
        <v>34</v>
      </c>
      <c r="AW76" s="27" t="s">
        <v>1865</v>
      </c>
      <c r="AX76" s="29"/>
      <c r="AY76" s="27" t="s">
        <v>1106</v>
      </c>
      <c r="AZ76" s="34">
        <v>91</v>
      </c>
      <c r="BA76" s="27" t="s">
        <v>1866</v>
      </c>
      <c r="BB76" s="27" t="s">
        <v>34</v>
      </c>
      <c r="BC76" s="41" t="s">
        <v>1867</v>
      </c>
      <c r="BD76" s="29" t="s">
        <v>1868</v>
      </c>
      <c r="BE76" s="27" t="s">
        <v>1106</v>
      </c>
      <c r="BF76" s="34">
        <v>91</v>
      </c>
      <c r="BG76" s="27" t="s">
        <v>1869</v>
      </c>
      <c r="BH76" s="27" t="s">
        <v>34</v>
      </c>
      <c r="BI76" s="27" t="s">
        <v>34</v>
      </c>
      <c r="BJ76" s="29" t="s">
        <v>1870</v>
      </c>
      <c r="BK76" s="27" t="s">
        <v>1106</v>
      </c>
      <c r="BL76" s="34">
        <v>91</v>
      </c>
      <c r="BM76" s="27" t="s">
        <v>1871</v>
      </c>
      <c r="BN76" s="27" t="s">
        <v>34</v>
      </c>
      <c r="BO76" s="29"/>
      <c r="BP76" s="29"/>
    </row>
    <row r="77" spans="1:68" ht="15.75" customHeight="1" x14ac:dyDescent="0.15">
      <c r="A77" s="34">
        <v>3002</v>
      </c>
      <c r="B77" s="27" t="s">
        <v>1090</v>
      </c>
      <c r="C77" s="27" t="s">
        <v>1115</v>
      </c>
      <c r="D77" s="34">
        <v>136</v>
      </c>
      <c r="E77" s="27" t="s">
        <v>34</v>
      </c>
      <c r="F77" s="27" t="s">
        <v>34</v>
      </c>
      <c r="G77" s="27" t="s">
        <v>34</v>
      </c>
      <c r="H77" s="29"/>
      <c r="I77" s="27" t="s">
        <v>1115</v>
      </c>
      <c r="J77" s="34">
        <v>136</v>
      </c>
      <c r="K77" s="27" t="s">
        <v>34</v>
      </c>
      <c r="L77" s="27" t="s">
        <v>34</v>
      </c>
      <c r="M77" s="27" t="s">
        <v>34</v>
      </c>
      <c r="N77" s="29"/>
      <c r="O77" s="27" t="s">
        <v>1115</v>
      </c>
      <c r="P77" s="34">
        <v>136</v>
      </c>
      <c r="Q77" s="34">
        <v>1</v>
      </c>
      <c r="R77" s="27" t="s">
        <v>34</v>
      </c>
      <c r="S77" s="27" t="s">
        <v>1862</v>
      </c>
      <c r="T77" s="29"/>
      <c r="U77" s="27" t="s">
        <v>1115</v>
      </c>
      <c r="V77" s="34">
        <v>136</v>
      </c>
      <c r="W77" s="34">
        <v>0</v>
      </c>
      <c r="X77" s="27" t="s">
        <v>34</v>
      </c>
      <c r="Y77" s="27" t="s">
        <v>1863</v>
      </c>
      <c r="Z77" s="29"/>
      <c r="AA77" s="27" t="s">
        <v>1115</v>
      </c>
      <c r="AB77" s="34">
        <v>136</v>
      </c>
      <c r="AC77" s="29" t="s">
        <v>1872</v>
      </c>
      <c r="AD77" s="27" t="s">
        <v>34</v>
      </c>
      <c r="AE77" s="27" t="s">
        <v>34</v>
      </c>
      <c r="AF77" s="29"/>
      <c r="AG77" s="27" t="s">
        <v>1115</v>
      </c>
      <c r="AH77" s="34">
        <v>136</v>
      </c>
      <c r="AI77" s="27" t="s">
        <v>34</v>
      </c>
      <c r="AJ77" s="27" t="s">
        <v>34</v>
      </c>
      <c r="AK77" s="27" t="s">
        <v>34</v>
      </c>
      <c r="AL77" s="29"/>
      <c r="AM77" s="27" t="s">
        <v>1115</v>
      </c>
      <c r="AN77" s="34">
        <v>136</v>
      </c>
      <c r="AO77" s="27" t="s">
        <v>34</v>
      </c>
      <c r="AP77" s="27" t="s">
        <v>34</v>
      </c>
      <c r="AQ77" s="27" t="s">
        <v>34</v>
      </c>
      <c r="AR77" s="29"/>
      <c r="AS77" s="27" t="s">
        <v>1115</v>
      </c>
      <c r="AT77" s="34">
        <v>136</v>
      </c>
      <c r="AU77" s="34">
        <v>0</v>
      </c>
      <c r="AV77" s="27" t="s">
        <v>34</v>
      </c>
      <c r="AW77" s="27" t="s">
        <v>1865</v>
      </c>
      <c r="AX77" s="29"/>
      <c r="AY77" s="27" t="s">
        <v>1115</v>
      </c>
      <c r="AZ77" s="34">
        <v>136</v>
      </c>
      <c r="BA77" s="27" t="s">
        <v>1873</v>
      </c>
      <c r="BB77" s="27" t="s">
        <v>34</v>
      </c>
      <c r="BC77" s="29" t="s">
        <v>34</v>
      </c>
      <c r="BD77" s="29"/>
      <c r="BE77" s="27" t="s">
        <v>1115</v>
      </c>
      <c r="BF77" s="34">
        <v>136</v>
      </c>
      <c r="BG77" s="27" t="s">
        <v>1874</v>
      </c>
      <c r="BH77" s="27" t="s">
        <v>34</v>
      </c>
      <c r="BI77" s="27" t="s">
        <v>34</v>
      </c>
      <c r="BJ77" s="29"/>
      <c r="BK77" s="27" t="s">
        <v>1115</v>
      </c>
      <c r="BL77" s="34">
        <v>136</v>
      </c>
      <c r="BM77" s="27" t="s">
        <v>1875</v>
      </c>
      <c r="BN77" s="27" t="s">
        <v>34</v>
      </c>
      <c r="BO77" s="29"/>
      <c r="BP77" s="29"/>
    </row>
    <row r="78" spans="1:68" ht="15.75" customHeight="1" x14ac:dyDescent="0.15">
      <c r="A78" s="34">
        <v>3204</v>
      </c>
      <c r="B78" s="27" t="s">
        <v>1122</v>
      </c>
      <c r="C78" s="27" t="s">
        <v>33</v>
      </c>
      <c r="D78" s="27">
        <v>737</v>
      </c>
      <c r="E78" s="27" t="s">
        <v>1876</v>
      </c>
      <c r="F78" s="27" t="s">
        <v>1877</v>
      </c>
      <c r="G78" s="27" t="s">
        <v>1878</v>
      </c>
      <c r="H78" s="29"/>
      <c r="I78" s="27" t="s">
        <v>33</v>
      </c>
      <c r="J78" s="27">
        <v>737</v>
      </c>
      <c r="K78" s="27" t="s">
        <v>34</v>
      </c>
      <c r="L78" s="27" t="s">
        <v>34</v>
      </c>
      <c r="M78" s="27" t="s">
        <v>34</v>
      </c>
      <c r="N78" s="29"/>
      <c r="O78" s="27" t="s">
        <v>33</v>
      </c>
      <c r="P78" s="27">
        <v>737</v>
      </c>
      <c r="Q78" s="27">
        <v>0</v>
      </c>
      <c r="R78" s="27" t="s">
        <v>34</v>
      </c>
      <c r="S78" s="27" t="s">
        <v>34</v>
      </c>
      <c r="T78" s="29" t="s">
        <v>1879</v>
      </c>
      <c r="U78" s="27" t="s">
        <v>33</v>
      </c>
      <c r="V78" s="27">
        <v>737</v>
      </c>
      <c r="W78" s="27" t="s">
        <v>34</v>
      </c>
      <c r="X78" s="27" t="s">
        <v>34</v>
      </c>
      <c r="Y78" s="27" t="s">
        <v>34</v>
      </c>
      <c r="Z78" s="29"/>
      <c r="AA78" s="27" t="s">
        <v>33</v>
      </c>
      <c r="AB78" s="27">
        <v>737</v>
      </c>
      <c r="AC78" s="27" t="s">
        <v>34</v>
      </c>
      <c r="AD78" s="27" t="s">
        <v>34</v>
      </c>
      <c r="AE78" s="27" t="s">
        <v>34</v>
      </c>
      <c r="AF78" s="29"/>
      <c r="AG78" s="27" t="s">
        <v>33</v>
      </c>
      <c r="AH78" s="27">
        <v>737</v>
      </c>
      <c r="AI78" s="27" t="s">
        <v>34</v>
      </c>
      <c r="AJ78" s="27" t="s">
        <v>34</v>
      </c>
      <c r="AK78" s="27" t="s">
        <v>34</v>
      </c>
      <c r="AL78" s="29"/>
      <c r="AM78" s="27" t="s">
        <v>33</v>
      </c>
      <c r="AN78" s="27">
        <v>737</v>
      </c>
      <c r="AO78" s="27" t="s">
        <v>34</v>
      </c>
      <c r="AP78" s="27" t="s">
        <v>34</v>
      </c>
      <c r="AQ78" s="27" t="s">
        <v>34</v>
      </c>
      <c r="AR78" s="29"/>
      <c r="AS78" s="27" t="s">
        <v>33</v>
      </c>
      <c r="AT78" s="27">
        <v>737</v>
      </c>
      <c r="AU78" s="27" t="s">
        <v>34</v>
      </c>
      <c r="AV78" s="27" t="s">
        <v>34</v>
      </c>
      <c r="AW78" s="27" t="s">
        <v>34</v>
      </c>
      <c r="AX78" s="29"/>
      <c r="AY78" s="27" t="s">
        <v>33</v>
      </c>
      <c r="AZ78" s="27">
        <v>737</v>
      </c>
      <c r="BA78" s="27" t="s">
        <v>34</v>
      </c>
      <c r="BB78" s="27" t="s">
        <v>34</v>
      </c>
      <c r="BC78" s="27" t="s">
        <v>34</v>
      </c>
      <c r="BD78" s="29"/>
      <c r="BE78" s="27" t="s">
        <v>33</v>
      </c>
      <c r="BF78" s="27">
        <v>737</v>
      </c>
      <c r="BG78" s="27">
        <v>4</v>
      </c>
      <c r="BH78" s="27" t="s">
        <v>34</v>
      </c>
      <c r="BI78" s="27" t="s">
        <v>34</v>
      </c>
      <c r="BJ78" s="27" t="s">
        <v>1880</v>
      </c>
      <c r="BK78" s="27" t="s">
        <v>33</v>
      </c>
      <c r="BL78" s="27">
        <v>737</v>
      </c>
      <c r="BM78" s="29">
        <v>739</v>
      </c>
      <c r="BN78" s="29" t="s">
        <v>1881</v>
      </c>
      <c r="BO78" s="29" t="s">
        <v>1882</v>
      </c>
      <c r="BP78" s="29"/>
    </row>
    <row r="79" spans="1:68" ht="15.75" customHeight="1" x14ac:dyDescent="0.15">
      <c r="A79" s="29">
        <v>2177</v>
      </c>
      <c r="B79" s="29" t="s">
        <v>1074</v>
      </c>
      <c r="C79" s="27" t="s">
        <v>1082</v>
      </c>
      <c r="D79" s="29">
        <v>250</v>
      </c>
      <c r="E79" s="29" t="s">
        <v>34</v>
      </c>
      <c r="F79" s="29" t="s">
        <v>34</v>
      </c>
      <c r="G79" s="29" t="s">
        <v>34</v>
      </c>
      <c r="H79" s="29"/>
      <c r="I79" s="27" t="s">
        <v>1082</v>
      </c>
      <c r="J79" s="29">
        <v>250</v>
      </c>
      <c r="K79" s="29">
        <v>3</v>
      </c>
      <c r="L79" s="29" t="s">
        <v>34</v>
      </c>
      <c r="M79" s="27" t="s">
        <v>1883</v>
      </c>
      <c r="N79" s="29"/>
      <c r="O79" s="27" t="s">
        <v>1082</v>
      </c>
      <c r="P79" s="29">
        <v>250</v>
      </c>
      <c r="Q79" s="27">
        <v>0</v>
      </c>
      <c r="R79" s="27" t="s">
        <v>34</v>
      </c>
      <c r="S79" s="27" t="s">
        <v>1884</v>
      </c>
      <c r="T79" s="29"/>
      <c r="U79" s="27" t="s">
        <v>1082</v>
      </c>
      <c r="V79" s="29">
        <v>250</v>
      </c>
      <c r="W79" s="27" t="s">
        <v>34</v>
      </c>
      <c r="X79" s="27" t="s">
        <v>34</v>
      </c>
      <c r="Y79" s="27" t="s">
        <v>34</v>
      </c>
      <c r="Z79" s="29"/>
      <c r="AA79" s="27" t="s">
        <v>1082</v>
      </c>
      <c r="AB79" s="27">
        <v>250</v>
      </c>
      <c r="AC79" s="29" t="s">
        <v>34</v>
      </c>
      <c r="AD79" s="29" t="s">
        <v>34</v>
      </c>
      <c r="AE79" s="29" t="s">
        <v>34</v>
      </c>
      <c r="AF79" s="29"/>
      <c r="AG79" s="27" t="s">
        <v>1082</v>
      </c>
      <c r="AH79" s="27">
        <v>250</v>
      </c>
      <c r="AI79" s="29" t="s">
        <v>34</v>
      </c>
      <c r="AJ79" s="29" t="s">
        <v>34</v>
      </c>
      <c r="AK79" s="29" t="s">
        <v>34</v>
      </c>
      <c r="AL79" s="29"/>
      <c r="AM79" s="27" t="s">
        <v>1082</v>
      </c>
      <c r="AN79" s="27">
        <v>250</v>
      </c>
      <c r="AO79" s="29" t="s">
        <v>34</v>
      </c>
      <c r="AP79" s="29" t="s">
        <v>34</v>
      </c>
      <c r="AQ79" s="29" t="s">
        <v>34</v>
      </c>
      <c r="AR79" s="29"/>
      <c r="AS79" s="27" t="s">
        <v>1082</v>
      </c>
      <c r="AT79" s="27">
        <v>250</v>
      </c>
      <c r="AU79" s="29" t="s">
        <v>34</v>
      </c>
      <c r="AV79" s="29" t="s">
        <v>34</v>
      </c>
      <c r="AW79" s="29" t="s">
        <v>34</v>
      </c>
      <c r="AX79" s="29"/>
      <c r="AY79" s="27" t="s">
        <v>1082</v>
      </c>
      <c r="AZ79" s="27">
        <v>250</v>
      </c>
      <c r="BA79" s="29" t="s">
        <v>34</v>
      </c>
      <c r="BB79" s="29" t="s">
        <v>34</v>
      </c>
      <c r="BC79" s="29" t="s">
        <v>34</v>
      </c>
      <c r="BD79" s="29"/>
      <c r="BE79" s="27" t="s">
        <v>1082</v>
      </c>
      <c r="BF79" s="27">
        <v>250</v>
      </c>
      <c r="BG79" s="29" t="s">
        <v>34</v>
      </c>
      <c r="BH79" s="29" t="s">
        <v>34</v>
      </c>
      <c r="BI79" s="29" t="s">
        <v>34</v>
      </c>
      <c r="BJ79" s="29"/>
      <c r="BK79" s="27" t="s">
        <v>1082</v>
      </c>
      <c r="BL79" s="27">
        <v>250</v>
      </c>
      <c r="BM79" s="29" t="s">
        <v>34</v>
      </c>
      <c r="BN79" s="29" t="s">
        <v>34</v>
      </c>
      <c r="BO79" s="29" t="s">
        <v>34</v>
      </c>
      <c r="BP79" s="29"/>
    </row>
    <row r="80" spans="1:68" ht="15.75" customHeight="1" x14ac:dyDescent="0.15">
      <c r="A80" s="29">
        <v>2177</v>
      </c>
      <c r="B80" s="29" t="s">
        <v>1074</v>
      </c>
      <c r="C80" s="27" t="s">
        <v>1086</v>
      </c>
      <c r="D80" s="29">
        <v>89</v>
      </c>
      <c r="E80" s="29" t="s">
        <v>34</v>
      </c>
      <c r="F80" s="29" t="s">
        <v>34</v>
      </c>
      <c r="G80" s="29" t="s">
        <v>34</v>
      </c>
      <c r="H80" s="29"/>
      <c r="I80" s="27" t="s">
        <v>1086</v>
      </c>
      <c r="J80" s="29">
        <v>89</v>
      </c>
      <c r="K80" s="29">
        <v>2</v>
      </c>
      <c r="L80" s="29" t="s">
        <v>34</v>
      </c>
      <c r="M80" s="27" t="s">
        <v>1883</v>
      </c>
      <c r="N80" s="29"/>
      <c r="O80" s="27" t="s">
        <v>1086</v>
      </c>
      <c r="P80" s="29">
        <v>89</v>
      </c>
      <c r="Q80" s="27">
        <v>2</v>
      </c>
      <c r="R80" s="27" t="s">
        <v>34</v>
      </c>
      <c r="S80" s="27" t="s">
        <v>1884</v>
      </c>
      <c r="T80" s="29"/>
      <c r="U80" s="27" t="s">
        <v>1086</v>
      </c>
      <c r="V80" s="29">
        <v>89</v>
      </c>
      <c r="W80" s="27" t="s">
        <v>34</v>
      </c>
      <c r="X80" s="27" t="s">
        <v>34</v>
      </c>
      <c r="Y80" s="27" t="s">
        <v>34</v>
      </c>
      <c r="Z80" s="29"/>
      <c r="AA80" s="27" t="s">
        <v>1086</v>
      </c>
      <c r="AB80" s="27">
        <v>89</v>
      </c>
      <c r="AC80" s="29" t="s">
        <v>34</v>
      </c>
      <c r="AD80" s="29" t="s">
        <v>34</v>
      </c>
      <c r="AE80" s="29" t="s">
        <v>34</v>
      </c>
      <c r="AF80" s="29"/>
      <c r="AG80" s="27" t="s">
        <v>1086</v>
      </c>
      <c r="AH80" s="27">
        <v>89</v>
      </c>
      <c r="AI80" s="29" t="s">
        <v>34</v>
      </c>
      <c r="AJ80" s="29" t="s">
        <v>34</v>
      </c>
      <c r="AK80" s="29" t="s">
        <v>34</v>
      </c>
      <c r="AL80" s="29"/>
      <c r="AM80" s="27" t="s">
        <v>1086</v>
      </c>
      <c r="AN80" s="27">
        <v>89</v>
      </c>
      <c r="AO80" s="29" t="s">
        <v>34</v>
      </c>
      <c r="AP80" s="29" t="s">
        <v>34</v>
      </c>
      <c r="AQ80" s="29" t="s">
        <v>34</v>
      </c>
      <c r="AR80" s="29"/>
      <c r="AS80" s="27" t="s">
        <v>1086</v>
      </c>
      <c r="AT80" s="27">
        <v>89</v>
      </c>
      <c r="AU80" s="29" t="s">
        <v>34</v>
      </c>
      <c r="AV80" s="29" t="s">
        <v>34</v>
      </c>
      <c r="AW80" s="29" t="s">
        <v>34</v>
      </c>
      <c r="AX80" s="29"/>
      <c r="AY80" s="27" t="s">
        <v>1086</v>
      </c>
      <c r="AZ80" s="27">
        <v>89</v>
      </c>
      <c r="BA80" s="29" t="s">
        <v>34</v>
      </c>
      <c r="BB80" s="29" t="s">
        <v>34</v>
      </c>
      <c r="BC80" s="29" t="s">
        <v>34</v>
      </c>
      <c r="BD80" s="29"/>
      <c r="BE80" s="27" t="s">
        <v>1086</v>
      </c>
      <c r="BF80" s="27">
        <v>89</v>
      </c>
      <c r="BG80" s="29" t="s">
        <v>34</v>
      </c>
      <c r="BH80" s="29" t="s">
        <v>34</v>
      </c>
      <c r="BI80" s="29" t="s">
        <v>34</v>
      </c>
      <c r="BJ80" s="29"/>
      <c r="BK80" s="27" t="s">
        <v>1086</v>
      </c>
      <c r="BL80" s="27">
        <v>89</v>
      </c>
      <c r="BM80" s="29" t="s">
        <v>34</v>
      </c>
      <c r="BN80" s="29" t="s">
        <v>34</v>
      </c>
      <c r="BO80" s="29" t="s">
        <v>34</v>
      </c>
      <c r="BP80" s="29"/>
    </row>
    <row r="81" spans="1:68" ht="15.75" customHeight="1" x14ac:dyDescent="0.15">
      <c r="A81" s="27">
        <v>2944</v>
      </c>
      <c r="B81" s="27" t="s">
        <v>1135</v>
      </c>
      <c r="C81" s="27" t="s">
        <v>33</v>
      </c>
      <c r="D81" s="27">
        <v>281</v>
      </c>
      <c r="E81" s="27">
        <v>3</v>
      </c>
      <c r="F81" s="27" t="s">
        <v>34</v>
      </c>
      <c r="G81" s="27" t="s">
        <v>34</v>
      </c>
      <c r="H81" s="27" t="s">
        <v>1885</v>
      </c>
      <c r="I81" s="27" t="s">
        <v>33</v>
      </c>
      <c r="J81" s="27">
        <v>281</v>
      </c>
      <c r="K81" s="27" t="s">
        <v>34</v>
      </c>
      <c r="L81" s="27" t="s">
        <v>34</v>
      </c>
      <c r="M81" s="27" t="s">
        <v>34</v>
      </c>
      <c r="N81" s="27"/>
      <c r="O81" s="27" t="s">
        <v>33</v>
      </c>
      <c r="P81" s="27">
        <v>281</v>
      </c>
      <c r="Q81" s="27" t="s">
        <v>34</v>
      </c>
      <c r="R81" s="27" t="s">
        <v>34</v>
      </c>
      <c r="S81" s="27" t="s">
        <v>34</v>
      </c>
      <c r="T81" s="27"/>
      <c r="U81" s="27" t="s">
        <v>33</v>
      </c>
      <c r="V81" s="27">
        <v>281</v>
      </c>
      <c r="W81" s="27" t="s">
        <v>34</v>
      </c>
      <c r="X81" s="27" t="s">
        <v>34</v>
      </c>
      <c r="Y81" s="27" t="s">
        <v>34</v>
      </c>
      <c r="Z81" s="27"/>
      <c r="AA81" s="27" t="s">
        <v>33</v>
      </c>
      <c r="AB81" s="27">
        <v>281</v>
      </c>
      <c r="AC81" s="27" t="s">
        <v>34</v>
      </c>
      <c r="AD81" s="27" t="s">
        <v>34</v>
      </c>
      <c r="AE81" s="27" t="s">
        <v>34</v>
      </c>
      <c r="AF81" s="27"/>
      <c r="AG81" s="27" t="s">
        <v>33</v>
      </c>
      <c r="AH81" s="27">
        <v>281</v>
      </c>
      <c r="AI81" s="27" t="s">
        <v>34</v>
      </c>
      <c r="AJ81" s="27" t="s">
        <v>34</v>
      </c>
      <c r="AK81" s="27" t="s">
        <v>34</v>
      </c>
      <c r="AL81" s="27"/>
      <c r="AM81" s="27" t="s">
        <v>33</v>
      </c>
      <c r="AN81" s="27">
        <v>281</v>
      </c>
      <c r="AO81" s="27" t="s">
        <v>34</v>
      </c>
      <c r="AP81" s="27" t="s">
        <v>34</v>
      </c>
      <c r="AQ81" s="27" t="s">
        <v>34</v>
      </c>
      <c r="AR81" s="27"/>
      <c r="AS81" s="27" t="s">
        <v>33</v>
      </c>
      <c r="AT81" s="27">
        <v>281</v>
      </c>
      <c r="AU81" s="27" t="s">
        <v>34</v>
      </c>
      <c r="AV81" s="27" t="s">
        <v>34</v>
      </c>
      <c r="AW81" s="27" t="s">
        <v>34</v>
      </c>
      <c r="AX81" s="27"/>
      <c r="AY81" s="27" t="s">
        <v>33</v>
      </c>
      <c r="AZ81" s="27">
        <v>281</v>
      </c>
      <c r="BA81" s="27" t="s">
        <v>34</v>
      </c>
      <c r="BB81" s="27" t="s">
        <v>34</v>
      </c>
      <c r="BC81" s="27" t="s">
        <v>34</v>
      </c>
      <c r="BD81" s="27"/>
      <c r="BE81" s="27" t="s">
        <v>33</v>
      </c>
      <c r="BF81" s="27">
        <v>281</v>
      </c>
      <c r="BG81" s="27">
        <v>14</v>
      </c>
      <c r="BH81" s="27" t="s">
        <v>1886</v>
      </c>
      <c r="BI81" s="27" t="s">
        <v>1887</v>
      </c>
      <c r="BJ81" s="27" t="s">
        <v>1888</v>
      </c>
      <c r="BK81" s="27" t="s">
        <v>33</v>
      </c>
      <c r="BL81" s="27">
        <v>281</v>
      </c>
      <c r="BM81" s="27">
        <v>190</v>
      </c>
      <c r="BN81" s="27" t="s">
        <v>34</v>
      </c>
      <c r="BO81" s="27" t="s">
        <v>34</v>
      </c>
      <c r="BP81" s="33" t="s">
        <v>1889</v>
      </c>
    </row>
    <row r="82" spans="1:68" ht="15.75" customHeight="1" x14ac:dyDescent="0.15">
      <c r="A82" s="27">
        <v>2944</v>
      </c>
      <c r="B82" s="27" t="s">
        <v>1135</v>
      </c>
      <c r="C82" s="27" t="s">
        <v>376</v>
      </c>
      <c r="D82" s="27">
        <v>204</v>
      </c>
      <c r="E82" s="27">
        <v>1</v>
      </c>
      <c r="F82" s="27" t="s">
        <v>34</v>
      </c>
      <c r="G82" s="27" t="s">
        <v>34</v>
      </c>
      <c r="H82" s="27"/>
      <c r="I82" s="27" t="s">
        <v>376</v>
      </c>
      <c r="J82" s="27">
        <v>204</v>
      </c>
      <c r="K82" s="27" t="s">
        <v>34</v>
      </c>
      <c r="L82" s="27" t="s">
        <v>34</v>
      </c>
      <c r="M82" s="27" t="s">
        <v>34</v>
      </c>
      <c r="N82" s="27"/>
      <c r="O82" s="27" t="s">
        <v>376</v>
      </c>
      <c r="P82" s="27">
        <v>204</v>
      </c>
      <c r="Q82" s="27" t="s">
        <v>34</v>
      </c>
      <c r="R82" s="27" t="s">
        <v>34</v>
      </c>
      <c r="S82" s="27" t="s">
        <v>34</v>
      </c>
      <c r="T82" s="27"/>
      <c r="U82" s="27" t="s">
        <v>376</v>
      </c>
      <c r="V82" s="27">
        <v>204</v>
      </c>
      <c r="W82" s="27" t="s">
        <v>34</v>
      </c>
      <c r="X82" s="27" t="s">
        <v>34</v>
      </c>
      <c r="Y82" s="27" t="s">
        <v>34</v>
      </c>
      <c r="Z82" s="27"/>
      <c r="AA82" s="27" t="s">
        <v>376</v>
      </c>
      <c r="AB82" s="27">
        <v>204</v>
      </c>
      <c r="AC82" s="27" t="s">
        <v>34</v>
      </c>
      <c r="AD82" s="27" t="s">
        <v>34</v>
      </c>
      <c r="AE82" s="27" t="s">
        <v>34</v>
      </c>
      <c r="AF82" s="27"/>
      <c r="AG82" s="27" t="s">
        <v>376</v>
      </c>
      <c r="AH82" s="27">
        <v>204</v>
      </c>
      <c r="AI82" s="27" t="s">
        <v>34</v>
      </c>
      <c r="AJ82" s="27" t="s">
        <v>34</v>
      </c>
      <c r="AK82" s="27" t="s">
        <v>34</v>
      </c>
      <c r="AL82" s="27"/>
      <c r="AM82" s="27" t="s">
        <v>376</v>
      </c>
      <c r="AN82" s="27">
        <v>204</v>
      </c>
      <c r="AO82" s="27" t="s">
        <v>34</v>
      </c>
      <c r="AP82" s="27" t="s">
        <v>34</v>
      </c>
      <c r="AQ82" s="27" t="s">
        <v>34</v>
      </c>
      <c r="AR82" s="27"/>
      <c r="AS82" s="27" t="s">
        <v>376</v>
      </c>
      <c r="AT82" s="27">
        <v>204</v>
      </c>
      <c r="AU82" s="27" t="s">
        <v>34</v>
      </c>
      <c r="AV82" s="27" t="s">
        <v>34</v>
      </c>
      <c r="AW82" s="27" t="s">
        <v>34</v>
      </c>
      <c r="AX82" s="27"/>
      <c r="AY82" s="27" t="s">
        <v>376</v>
      </c>
      <c r="AZ82" s="27">
        <v>204</v>
      </c>
      <c r="BA82" s="27" t="s">
        <v>34</v>
      </c>
      <c r="BB82" s="27" t="s">
        <v>34</v>
      </c>
      <c r="BC82" s="27" t="s">
        <v>34</v>
      </c>
      <c r="BD82" s="27"/>
      <c r="BE82" s="27" t="s">
        <v>376</v>
      </c>
      <c r="BF82" s="27">
        <v>204</v>
      </c>
      <c r="BG82" s="27">
        <v>2</v>
      </c>
      <c r="BH82" s="27" t="s">
        <v>34</v>
      </c>
      <c r="BI82" s="27" t="s">
        <v>34</v>
      </c>
      <c r="BJ82" s="27"/>
      <c r="BK82" s="27" t="s">
        <v>376</v>
      </c>
      <c r="BL82" s="27">
        <v>204</v>
      </c>
      <c r="BM82" s="27">
        <v>126</v>
      </c>
      <c r="BN82" s="27" t="s">
        <v>34</v>
      </c>
      <c r="BO82" s="27" t="s">
        <v>34</v>
      </c>
      <c r="BP82" s="27"/>
    </row>
    <row r="83" spans="1:68" ht="57" customHeight="1" x14ac:dyDescent="0.15">
      <c r="A83" s="42">
        <v>1550</v>
      </c>
      <c r="B83" s="36" t="s">
        <v>824</v>
      </c>
      <c r="C83" s="27" t="s">
        <v>33</v>
      </c>
      <c r="D83" s="28">
        <v>133</v>
      </c>
      <c r="E83" s="27" t="s">
        <v>34</v>
      </c>
      <c r="F83" s="27" t="s">
        <v>34</v>
      </c>
      <c r="G83" s="27" t="s">
        <v>34</v>
      </c>
      <c r="H83" s="29"/>
      <c r="I83" s="27" t="str">
        <f t="shared" ref="I83:J83" si="184">C83</f>
        <v>Tdap</v>
      </c>
      <c r="J83" s="28">
        <f t="shared" si="184"/>
        <v>133</v>
      </c>
      <c r="K83" s="27">
        <v>1</v>
      </c>
      <c r="L83" s="27" t="s">
        <v>34</v>
      </c>
      <c r="M83" s="27" t="s">
        <v>1890</v>
      </c>
      <c r="N83" s="27" t="s">
        <v>1891</v>
      </c>
      <c r="O83" s="27" t="str">
        <f t="shared" ref="O83:P83" si="185">I83</f>
        <v>Tdap</v>
      </c>
      <c r="P83" s="28">
        <f t="shared" si="185"/>
        <v>133</v>
      </c>
      <c r="Q83" s="27">
        <v>4</v>
      </c>
      <c r="R83" s="27" t="s">
        <v>34</v>
      </c>
      <c r="S83" s="27" t="s">
        <v>1892</v>
      </c>
      <c r="T83" s="27" t="s">
        <v>1893</v>
      </c>
      <c r="U83" s="27" t="str">
        <f t="shared" ref="U83:V83" si="186">O83</f>
        <v>Tdap</v>
      </c>
      <c r="V83" s="28">
        <f t="shared" si="186"/>
        <v>133</v>
      </c>
      <c r="W83" s="27">
        <v>8</v>
      </c>
      <c r="X83" s="27" t="s">
        <v>34</v>
      </c>
      <c r="Y83" s="27" t="s">
        <v>1894</v>
      </c>
      <c r="Z83" s="29"/>
      <c r="AA83" s="27" t="str">
        <f t="shared" ref="AA83:AB83" si="187">U83</f>
        <v>Tdap</v>
      </c>
      <c r="AB83" s="28">
        <f t="shared" si="187"/>
        <v>133</v>
      </c>
      <c r="AC83" s="27">
        <v>2</v>
      </c>
      <c r="AD83" s="27" t="s">
        <v>34</v>
      </c>
      <c r="AE83" s="27" t="s">
        <v>1895</v>
      </c>
      <c r="AF83" s="27" t="s">
        <v>1896</v>
      </c>
      <c r="AG83" s="27" t="str">
        <f t="shared" ref="AG83:AH83" si="188">AA83</f>
        <v>Tdap</v>
      </c>
      <c r="AH83" s="28">
        <f t="shared" si="188"/>
        <v>133</v>
      </c>
      <c r="AI83" s="27" t="s">
        <v>34</v>
      </c>
      <c r="AJ83" s="27" t="s">
        <v>34</v>
      </c>
      <c r="AK83" s="27" t="s">
        <v>34</v>
      </c>
      <c r="AL83" s="29"/>
      <c r="AM83" s="27" t="str">
        <f t="shared" ref="AM83:AN83" si="189">AG83</f>
        <v>Tdap</v>
      </c>
      <c r="AN83" s="28">
        <f t="shared" si="189"/>
        <v>133</v>
      </c>
      <c r="AO83" s="27">
        <v>0</v>
      </c>
      <c r="AP83" s="27" t="s">
        <v>34</v>
      </c>
      <c r="AQ83" s="27" t="s">
        <v>34</v>
      </c>
      <c r="AR83" s="29"/>
      <c r="AS83" s="27" t="str">
        <f t="shared" ref="AS83:AT83" si="190">AM83</f>
        <v>Tdap</v>
      </c>
      <c r="AT83" s="28">
        <f t="shared" si="190"/>
        <v>133</v>
      </c>
      <c r="AU83" s="27" t="s">
        <v>34</v>
      </c>
      <c r="AV83" s="27" t="s">
        <v>34</v>
      </c>
      <c r="AW83" s="27" t="s">
        <v>34</v>
      </c>
      <c r="AX83" s="29"/>
      <c r="AY83" s="27" t="str">
        <f t="shared" ref="AY83:AZ83" si="191">AS83</f>
        <v>Tdap</v>
      </c>
      <c r="AZ83" s="28">
        <f t="shared" si="191"/>
        <v>133</v>
      </c>
      <c r="BA83" s="27">
        <v>5</v>
      </c>
      <c r="BB83" s="27" t="s">
        <v>34</v>
      </c>
      <c r="BC83" s="27" t="s">
        <v>1897</v>
      </c>
      <c r="BD83" s="29"/>
      <c r="BE83" s="27" t="str">
        <f t="shared" ref="BE83:BF83" si="192">AY83</f>
        <v>Tdap</v>
      </c>
      <c r="BF83" s="28">
        <f t="shared" si="192"/>
        <v>133</v>
      </c>
      <c r="BG83" s="27" t="s">
        <v>1898</v>
      </c>
      <c r="BH83" s="27" t="s">
        <v>34</v>
      </c>
      <c r="BI83" s="27" t="s">
        <v>1899</v>
      </c>
      <c r="BJ83" s="27" t="s">
        <v>1900</v>
      </c>
      <c r="BK83" s="27" t="str">
        <f t="shared" ref="BK83:BL83" si="193">BE83</f>
        <v>Tdap</v>
      </c>
      <c r="BL83" s="28">
        <f t="shared" si="193"/>
        <v>133</v>
      </c>
      <c r="BM83" s="34">
        <f>29+0+9</f>
        <v>38</v>
      </c>
      <c r="BN83" s="27" t="s">
        <v>34</v>
      </c>
      <c r="BO83" s="27" t="s">
        <v>1901</v>
      </c>
      <c r="BP83" s="27" t="s">
        <v>1902</v>
      </c>
    </row>
    <row r="84" spans="1:68" ht="57" customHeight="1" x14ac:dyDescent="0.15">
      <c r="A84" s="42">
        <v>1550</v>
      </c>
      <c r="B84" s="36" t="s">
        <v>824</v>
      </c>
      <c r="C84" s="27" t="s">
        <v>844</v>
      </c>
      <c r="D84" s="28">
        <v>67</v>
      </c>
      <c r="E84" s="27" t="s">
        <v>34</v>
      </c>
      <c r="F84" s="27" t="s">
        <v>34</v>
      </c>
      <c r="G84" s="27" t="s">
        <v>34</v>
      </c>
      <c r="H84" s="29"/>
      <c r="I84" s="27" t="str">
        <f t="shared" ref="I84:J84" si="194">C84</f>
        <v>Td</v>
      </c>
      <c r="J84" s="28">
        <f t="shared" si="194"/>
        <v>67</v>
      </c>
      <c r="K84" s="27">
        <v>0</v>
      </c>
      <c r="L84" s="27" t="s">
        <v>34</v>
      </c>
      <c r="M84" s="27" t="s">
        <v>34</v>
      </c>
      <c r="N84" s="29"/>
      <c r="O84" s="27" t="str">
        <f t="shared" ref="O84:P84" si="195">I84</f>
        <v>Td</v>
      </c>
      <c r="P84" s="28">
        <f t="shared" si="195"/>
        <v>67</v>
      </c>
      <c r="Q84" s="27">
        <v>1</v>
      </c>
      <c r="R84" s="27" t="s">
        <v>34</v>
      </c>
      <c r="S84" s="27" t="s">
        <v>34</v>
      </c>
      <c r="T84" s="29"/>
      <c r="U84" s="27" t="str">
        <f t="shared" ref="U84:V84" si="196">O84</f>
        <v>Td</v>
      </c>
      <c r="V84" s="28">
        <f t="shared" si="196"/>
        <v>67</v>
      </c>
      <c r="W84" s="27">
        <v>4</v>
      </c>
      <c r="X84" s="27" t="s">
        <v>34</v>
      </c>
      <c r="Y84" s="27" t="s">
        <v>34</v>
      </c>
      <c r="Z84" s="29"/>
      <c r="AA84" s="27" t="str">
        <f t="shared" ref="AA84:AB84" si="197">U84</f>
        <v>Td</v>
      </c>
      <c r="AB84" s="28">
        <f t="shared" si="197"/>
        <v>67</v>
      </c>
      <c r="AC84" s="27">
        <v>2</v>
      </c>
      <c r="AD84" s="27" t="s">
        <v>34</v>
      </c>
      <c r="AE84" s="27" t="s">
        <v>1903</v>
      </c>
      <c r="AF84" s="29"/>
      <c r="AG84" s="27" t="str">
        <f t="shared" ref="AG84:AH84" si="198">AA84</f>
        <v>Td</v>
      </c>
      <c r="AH84" s="28">
        <f t="shared" si="198"/>
        <v>67</v>
      </c>
      <c r="AI84" s="27" t="s">
        <v>34</v>
      </c>
      <c r="AJ84" s="27" t="s">
        <v>34</v>
      </c>
      <c r="AK84" s="27" t="s">
        <v>34</v>
      </c>
      <c r="AL84" s="29"/>
      <c r="AM84" s="27" t="str">
        <f t="shared" ref="AM84:AN84" si="199">AG84</f>
        <v>Td</v>
      </c>
      <c r="AN84" s="28">
        <f t="shared" si="199"/>
        <v>67</v>
      </c>
      <c r="AO84" s="27">
        <v>3</v>
      </c>
      <c r="AP84" s="27" t="s">
        <v>34</v>
      </c>
      <c r="AQ84" s="27" t="s">
        <v>1904</v>
      </c>
      <c r="AR84" s="29"/>
      <c r="AS84" s="27" t="str">
        <f t="shared" ref="AS84:AT84" si="200">AM84</f>
        <v>Td</v>
      </c>
      <c r="AT84" s="28">
        <f t="shared" si="200"/>
        <v>67</v>
      </c>
      <c r="AU84" s="27" t="s">
        <v>34</v>
      </c>
      <c r="AV84" s="27" t="s">
        <v>34</v>
      </c>
      <c r="AW84" s="27" t="s">
        <v>34</v>
      </c>
      <c r="AX84" s="29"/>
      <c r="AY84" s="27" t="str">
        <f t="shared" ref="AY84:AZ84" si="201">AS84</f>
        <v>Td</v>
      </c>
      <c r="AZ84" s="28">
        <f t="shared" si="201"/>
        <v>67</v>
      </c>
      <c r="BA84" s="27">
        <v>0</v>
      </c>
      <c r="BB84" s="27" t="s">
        <v>34</v>
      </c>
      <c r="BC84" s="27" t="s">
        <v>1905</v>
      </c>
      <c r="BD84" s="29"/>
      <c r="BE84" s="27" t="str">
        <f t="shared" ref="BE84:BF84" si="202">AY84</f>
        <v>Td</v>
      </c>
      <c r="BF84" s="28">
        <f t="shared" si="202"/>
        <v>67</v>
      </c>
      <c r="BG84" s="27" t="s">
        <v>1906</v>
      </c>
      <c r="BH84" s="27" t="s">
        <v>34</v>
      </c>
      <c r="BI84" s="27" t="s">
        <v>55</v>
      </c>
      <c r="BJ84" s="29"/>
      <c r="BK84" s="27" t="str">
        <f t="shared" ref="BK84:BL84" si="203">BE84</f>
        <v>Td</v>
      </c>
      <c r="BL84" s="28">
        <f t="shared" si="203"/>
        <v>67</v>
      </c>
      <c r="BM84" s="34">
        <f>12+4+15</f>
        <v>31</v>
      </c>
      <c r="BN84" s="27" t="s">
        <v>34</v>
      </c>
      <c r="BO84" s="27" t="s">
        <v>1907</v>
      </c>
      <c r="BP84" s="29"/>
    </row>
    <row r="85" spans="1:68" ht="81.75" customHeight="1" x14ac:dyDescent="0.15">
      <c r="A85" s="34">
        <v>4252</v>
      </c>
      <c r="B85" s="27" t="s">
        <v>1189</v>
      </c>
      <c r="C85" s="27" t="s">
        <v>33</v>
      </c>
      <c r="D85" s="34">
        <v>370</v>
      </c>
      <c r="E85" s="27">
        <v>19</v>
      </c>
      <c r="F85" s="27" t="s">
        <v>34</v>
      </c>
      <c r="G85" s="27" t="s">
        <v>1908</v>
      </c>
      <c r="H85" s="29"/>
      <c r="I85" s="27" t="s">
        <v>33</v>
      </c>
      <c r="J85" s="34">
        <v>370</v>
      </c>
      <c r="K85" s="27" t="s">
        <v>34</v>
      </c>
      <c r="L85" s="27" t="s">
        <v>34</v>
      </c>
      <c r="M85" s="27" t="s">
        <v>34</v>
      </c>
      <c r="N85" s="29"/>
      <c r="O85" s="27" t="s">
        <v>33</v>
      </c>
      <c r="P85" s="34">
        <v>370</v>
      </c>
      <c r="Q85" s="27">
        <v>2</v>
      </c>
      <c r="R85" s="27" t="s">
        <v>34</v>
      </c>
      <c r="S85" s="27" t="s">
        <v>34</v>
      </c>
      <c r="T85" s="29"/>
      <c r="U85" s="27" t="s">
        <v>33</v>
      </c>
      <c r="V85" s="34">
        <v>370</v>
      </c>
      <c r="W85" s="27">
        <v>25</v>
      </c>
      <c r="X85" s="27" t="s">
        <v>34</v>
      </c>
      <c r="Y85" s="27" t="s">
        <v>1909</v>
      </c>
      <c r="Z85" s="29"/>
      <c r="AA85" s="27" t="s">
        <v>33</v>
      </c>
      <c r="AB85" s="34">
        <v>370</v>
      </c>
      <c r="AC85" s="27" t="s">
        <v>1910</v>
      </c>
      <c r="AD85" s="27" t="s">
        <v>34</v>
      </c>
      <c r="AE85" s="27" t="s">
        <v>1911</v>
      </c>
      <c r="AF85" s="29"/>
      <c r="AG85" s="27" t="s">
        <v>33</v>
      </c>
      <c r="AH85" s="34">
        <v>370</v>
      </c>
      <c r="AI85" s="27">
        <v>2</v>
      </c>
      <c r="AJ85" s="27" t="s">
        <v>34</v>
      </c>
      <c r="AK85" s="27" t="s">
        <v>34</v>
      </c>
      <c r="AL85" s="29"/>
      <c r="AM85" s="27" t="s">
        <v>33</v>
      </c>
      <c r="AN85" s="34">
        <v>370</v>
      </c>
      <c r="AO85" s="27" t="s">
        <v>34</v>
      </c>
      <c r="AP85" s="27" t="s">
        <v>34</v>
      </c>
      <c r="AQ85" s="27" t="s">
        <v>34</v>
      </c>
      <c r="AR85" s="29"/>
      <c r="AS85" s="27" t="s">
        <v>33</v>
      </c>
      <c r="AT85" s="34">
        <v>370</v>
      </c>
      <c r="AU85" s="27">
        <v>10</v>
      </c>
      <c r="AV85" s="27" t="s">
        <v>34</v>
      </c>
      <c r="AW85" s="27" t="s">
        <v>34</v>
      </c>
      <c r="AX85" s="29"/>
      <c r="AY85" s="27" t="s">
        <v>33</v>
      </c>
      <c r="AZ85" s="34">
        <v>370</v>
      </c>
      <c r="BA85" s="27">
        <v>4</v>
      </c>
      <c r="BB85" s="27" t="s">
        <v>34</v>
      </c>
      <c r="BC85" s="27" t="s">
        <v>1912</v>
      </c>
      <c r="BD85" s="29"/>
      <c r="BE85" s="27" t="s">
        <v>33</v>
      </c>
      <c r="BF85" s="34">
        <v>370</v>
      </c>
      <c r="BG85" s="27">
        <v>1</v>
      </c>
      <c r="BH85" s="27" t="s">
        <v>34</v>
      </c>
      <c r="BI85" s="27" t="s">
        <v>34</v>
      </c>
      <c r="BJ85" s="27" t="s">
        <v>1913</v>
      </c>
      <c r="BK85" s="27" t="s">
        <v>33</v>
      </c>
      <c r="BL85" s="34">
        <v>370</v>
      </c>
      <c r="BM85" s="27">
        <v>312</v>
      </c>
      <c r="BN85" s="27" t="s">
        <v>34</v>
      </c>
      <c r="BO85" s="27" t="s">
        <v>1914</v>
      </c>
      <c r="BP85" s="29"/>
    </row>
    <row r="86" spans="1:68" ht="15.75" customHeight="1" x14ac:dyDescent="0.15">
      <c r="A86" s="34">
        <v>599</v>
      </c>
      <c r="B86" s="27" t="s">
        <v>1205</v>
      </c>
      <c r="C86" s="27" t="s">
        <v>1216</v>
      </c>
      <c r="D86" s="34">
        <v>119</v>
      </c>
      <c r="E86" s="27" t="s">
        <v>1915</v>
      </c>
      <c r="F86" s="27" t="s">
        <v>1916</v>
      </c>
      <c r="G86" s="27" t="s">
        <v>1917</v>
      </c>
      <c r="H86" s="43" t="s">
        <v>1918</v>
      </c>
      <c r="I86" s="27" t="s">
        <v>1216</v>
      </c>
      <c r="J86" s="34">
        <v>119</v>
      </c>
      <c r="K86" s="27" t="s">
        <v>34</v>
      </c>
      <c r="L86" s="27" t="s">
        <v>34</v>
      </c>
      <c r="M86" s="27" t="s">
        <v>34</v>
      </c>
      <c r="N86" s="29"/>
      <c r="O86" s="27" t="s">
        <v>1216</v>
      </c>
      <c r="P86" s="34">
        <v>119</v>
      </c>
      <c r="Q86" s="27" t="s">
        <v>34</v>
      </c>
      <c r="R86" s="27" t="s">
        <v>34</v>
      </c>
      <c r="S86" s="27" t="s">
        <v>34</v>
      </c>
      <c r="T86" s="29"/>
      <c r="U86" s="27" t="s">
        <v>1216</v>
      </c>
      <c r="V86" s="34">
        <v>119</v>
      </c>
      <c r="W86" s="34">
        <v>5</v>
      </c>
      <c r="X86" s="27" t="s">
        <v>34</v>
      </c>
      <c r="Y86" s="27" t="s">
        <v>34</v>
      </c>
      <c r="Z86" s="27" t="s">
        <v>1761</v>
      </c>
      <c r="AA86" s="27" t="s">
        <v>1216</v>
      </c>
      <c r="AB86" s="34">
        <v>119</v>
      </c>
      <c r="AC86" s="27" t="s">
        <v>34</v>
      </c>
      <c r="AD86" s="27" t="s">
        <v>34</v>
      </c>
      <c r="AE86" s="27" t="s">
        <v>34</v>
      </c>
      <c r="AF86" s="29"/>
      <c r="AG86" s="27" t="s">
        <v>1216</v>
      </c>
      <c r="AH86" s="34">
        <v>119</v>
      </c>
      <c r="AI86" s="27" t="s">
        <v>34</v>
      </c>
      <c r="AJ86" s="27" t="s">
        <v>34</v>
      </c>
      <c r="AK86" s="27" t="s">
        <v>34</v>
      </c>
      <c r="AL86" s="29"/>
      <c r="AM86" s="27" t="s">
        <v>1216</v>
      </c>
      <c r="AN86" s="34">
        <v>119</v>
      </c>
      <c r="AO86" s="27" t="s">
        <v>34</v>
      </c>
      <c r="AP86" s="27" t="s">
        <v>34</v>
      </c>
      <c r="AQ86" s="27" t="s">
        <v>34</v>
      </c>
      <c r="AR86" s="29"/>
      <c r="AS86" s="27" t="s">
        <v>1216</v>
      </c>
      <c r="AT86" s="34">
        <v>119</v>
      </c>
      <c r="AU86" s="27" t="s">
        <v>34</v>
      </c>
      <c r="AV86" s="27" t="s">
        <v>34</v>
      </c>
      <c r="AW86" s="27" t="s">
        <v>34</v>
      </c>
      <c r="AX86" s="29"/>
      <c r="AY86" s="27" t="s">
        <v>1216</v>
      </c>
      <c r="AZ86" s="34">
        <v>119</v>
      </c>
      <c r="BA86" s="27" t="s">
        <v>34</v>
      </c>
      <c r="BB86" s="27" t="s">
        <v>34</v>
      </c>
      <c r="BC86" s="27" t="s">
        <v>34</v>
      </c>
      <c r="BD86" s="29"/>
      <c r="BE86" s="27" t="s">
        <v>1216</v>
      </c>
      <c r="BF86" s="34">
        <v>119</v>
      </c>
      <c r="BG86" s="27" t="s">
        <v>34</v>
      </c>
      <c r="BH86" s="27" t="s">
        <v>34</v>
      </c>
      <c r="BI86" s="27" t="s">
        <v>34</v>
      </c>
      <c r="BJ86" s="27" t="s">
        <v>1919</v>
      </c>
      <c r="BK86" s="27" t="s">
        <v>1216</v>
      </c>
      <c r="BL86" s="34">
        <v>119</v>
      </c>
      <c r="BM86" s="27" t="s">
        <v>1920</v>
      </c>
      <c r="BN86" s="27" t="s">
        <v>34</v>
      </c>
      <c r="BO86" s="27" t="s">
        <v>1921</v>
      </c>
      <c r="BP86" s="27" t="s">
        <v>1922</v>
      </c>
    </row>
    <row r="87" spans="1:68" ht="15.75" customHeight="1" x14ac:dyDescent="0.15">
      <c r="A87" s="34">
        <v>599</v>
      </c>
      <c r="B87" s="27" t="s">
        <v>1205</v>
      </c>
      <c r="C87" s="27" t="s">
        <v>1224</v>
      </c>
      <c r="D87" s="34">
        <v>119</v>
      </c>
      <c r="E87" s="27" t="s">
        <v>1923</v>
      </c>
      <c r="F87" s="27" t="s">
        <v>1924</v>
      </c>
      <c r="G87" s="27" t="s">
        <v>34</v>
      </c>
      <c r="H87" s="44" t="s">
        <v>1925</v>
      </c>
      <c r="I87" s="27" t="s">
        <v>1224</v>
      </c>
      <c r="J87" s="34">
        <v>119</v>
      </c>
      <c r="K87" s="27" t="s">
        <v>34</v>
      </c>
      <c r="L87" s="27" t="s">
        <v>34</v>
      </c>
      <c r="M87" s="27" t="s">
        <v>34</v>
      </c>
      <c r="N87" s="29"/>
      <c r="O87" s="27" t="s">
        <v>1224</v>
      </c>
      <c r="P87" s="34">
        <v>119</v>
      </c>
      <c r="Q87" s="27" t="s">
        <v>34</v>
      </c>
      <c r="R87" s="27" t="s">
        <v>34</v>
      </c>
      <c r="S87" s="27" t="s">
        <v>34</v>
      </c>
      <c r="T87" s="29"/>
      <c r="U87" s="27" t="s">
        <v>1224</v>
      </c>
      <c r="V87" s="34">
        <v>119</v>
      </c>
      <c r="W87" s="34">
        <v>5</v>
      </c>
      <c r="X87" s="27" t="s">
        <v>34</v>
      </c>
      <c r="Y87" s="27" t="s">
        <v>34</v>
      </c>
      <c r="Z87" s="29"/>
      <c r="AA87" s="27" t="s">
        <v>1224</v>
      </c>
      <c r="AB87" s="34">
        <v>119</v>
      </c>
      <c r="AC87" s="27" t="s">
        <v>34</v>
      </c>
      <c r="AD87" s="27" t="s">
        <v>34</v>
      </c>
      <c r="AE87" s="27" t="s">
        <v>34</v>
      </c>
      <c r="AF87" s="29"/>
      <c r="AG87" s="27" t="s">
        <v>1224</v>
      </c>
      <c r="AH87" s="34">
        <v>119</v>
      </c>
      <c r="AI87" s="27" t="s">
        <v>34</v>
      </c>
      <c r="AJ87" s="27" t="s">
        <v>34</v>
      </c>
      <c r="AK87" s="27" t="s">
        <v>34</v>
      </c>
      <c r="AL87" s="29"/>
      <c r="AM87" s="27" t="s">
        <v>1224</v>
      </c>
      <c r="AN87" s="34">
        <v>119</v>
      </c>
      <c r="AO87" s="27" t="s">
        <v>34</v>
      </c>
      <c r="AP87" s="27" t="s">
        <v>34</v>
      </c>
      <c r="AQ87" s="27" t="s">
        <v>34</v>
      </c>
      <c r="AR87" s="29"/>
      <c r="AS87" s="27" t="s">
        <v>1224</v>
      </c>
      <c r="AT87" s="34">
        <v>119</v>
      </c>
      <c r="AU87" s="27" t="s">
        <v>34</v>
      </c>
      <c r="AV87" s="27" t="s">
        <v>34</v>
      </c>
      <c r="AW87" s="27" t="s">
        <v>34</v>
      </c>
      <c r="AX87" s="29"/>
      <c r="AY87" s="27" t="s">
        <v>1224</v>
      </c>
      <c r="AZ87" s="34">
        <v>119</v>
      </c>
      <c r="BA87" s="27" t="s">
        <v>34</v>
      </c>
      <c r="BB87" s="27" t="s">
        <v>34</v>
      </c>
      <c r="BC87" s="27" t="s">
        <v>34</v>
      </c>
      <c r="BD87" s="29"/>
      <c r="BE87" s="27" t="s">
        <v>1224</v>
      </c>
      <c r="BF87" s="34">
        <v>119</v>
      </c>
      <c r="BG87" s="27" t="s">
        <v>34</v>
      </c>
      <c r="BH87" s="27" t="s">
        <v>34</v>
      </c>
      <c r="BI87" s="27" t="s">
        <v>34</v>
      </c>
      <c r="BJ87" s="29"/>
      <c r="BK87" s="27" t="s">
        <v>1224</v>
      </c>
      <c r="BL87" s="34">
        <v>119</v>
      </c>
      <c r="BM87" s="27" t="s">
        <v>1926</v>
      </c>
      <c r="BN87" s="27" t="s">
        <v>34</v>
      </c>
      <c r="BO87" s="27" t="s">
        <v>1921</v>
      </c>
      <c r="BP87" s="27" t="s">
        <v>1927</v>
      </c>
    </row>
    <row r="88" spans="1:68" ht="15.75" customHeight="1" x14ac:dyDescent="0.15">
      <c r="A88" s="34">
        <v>599</v>
      </c>
      <c r="B88" s="27" t="s">
        <v>1205</v>
      </c>
      <c r="C88" s="27" t="s">
        <v>1231</v>
      </c>
      <c r="D88" s="34">
        <v>113</v>
      </c>
      <c r="E88" s="27" t="s">
        <v>1928</v>
      </c>
      <c r="F88" s="27" t="s">
        <v>1929</v>
      </c>
      <c r="G88" s="27" t="s">
        <v>34</v>
      </c>
      <c r="H88" s="44" t="s">
        <v>1930</v>
      </c>
      <c r="I88" s="27" t="s">
        <v>1231</v>
      </c>
      <c r="J88" s="34">
        <v>113</v>
      </c>
      <c r="K88" s="27" t="s">
        <v>34</v>
      </c>
      <c r="L88" s="27" t="s">
        <v>34</v>
      </c>
      <c r="M88" s="27" t="s">
        <v>34</v>
      </c>
      <c r="N88" s="29"/>
      <c r="O88" s="27" t="s">
        <v>1231</v>
      </c>
      <c r="P88" s="34">
        <v>113</v>
      </c>
      <c r="Q88" s="27" t="s">
        <v>34</v>
      </c>
      <c r="R88" s="27" t="s">
        <v>34</v>
      </c>
      <c r="S88" s="27" t="s">
        <v>34</v>
      </c>
      <c r="T88" s="29"/>
      <c r="U88" s="27" t="s">
        <v>1231</v>
      </c>
      <c r="V88" s="34">
        <v>113</v>
      </c>
      <c r="W88" s="34">
        <v>5</v>
      </c>
      <c r="X88" s="27" t="s">
        <v>34</v>
      </c>
      <c r="Y88" s="27" t="s">
        <v>34</v>
      </c>
      <c r="Z88" s="29"/>
      <c r="AA88" s="27" t="s">
        <v>1231</v>
      </c>
      <c r="AB88" s="34">
        <v>113</v>
      </c>
      <c r="AC88" s="27" t="s">
        <v>34</v>
      </c>
      <c r="AD88" s="27" t="s">
        <v>34</v>
      </c>
      <c r="AE88" s="27" t="s">
        <v>34</v>
      </c>
      <c r="AF88" s="29"/>
      <c r="AG88" s="27" t="s">
        <v>1231</v>
      </c>
      <c r="AH88" s="34">
        <v>113</v>
      </c>
      <c r="AI88" s="27" t="s">
        <v>34</v>
      </c>
      <c r="AJ88" s="27" t="s">
        <v>34</v>
      </c>
      <c r="AK88" s="27" t="s">
        <v>34</v>
      </c>
      <c r="AL88" s="29"/>
      <c r="AM88" s="27" t="s">
        <v>1231</v>
      </c>
      <c r="AN88" s="34">
        <v>113</v>
      </c>
      <c r="AO88" s="27" t="s">
        <v>34</v>
      </c>
      <c r="AP88" s="27" t="s">
        <v>34</v>
      </c>
      <c r="AQ88" s="27" t="s">
        <v>34</v>
      </c>
      <c r="AR88" s="29"/>
      <c r="AS88" s="27" t="s">
        <v>1231</v>
      </c>
      <c r="AT88" s="34">
        <v>113</v>
      </c>
      <c r="AU88" s="27" t="s">
        <v>34</v>
      </c>
      <c r="AV88" s="27" t="s">
        <v>34</v>
      </c>
      <c r="AW88" s="27" t="s">
        <v>34</v>
      </c>
      <c r="AX88" s="29"/>
      <c r="AY88" s="27" t="s">
        <v>1231</v>
      </c>
      <c r="AZ88" s="34">
        <v>113</v>
      </c>
      <c r="BA88" s="27" t="s">
        <v>34</v>
      </c>
      <c r="BB88" s="27" t="s">
        <v>34</v>
      </c>
      <c r="BC88" s="27" t="s">
        <v>34</v>
      </c>
      <c r="BD88" s="29"/>
      <c r="BE88" s="27" t="s">
        <v>1231</v>
      </c>
      <c r="BF88" s="34">
        <v>113</v>
      </c>
      <c r="BG88" s="27" t="s">
        <v>34</v>
      </c>
      <c r="BH88" s="27" t="s">
        <v>34</v>
      </c>
      <c r="BI88" s="27" t="s">
        <v>34</v>
      </c>
      <c r="BJ88" s="29"/>
      <c r="BK88" s="27" t="s">
        <v>1231</v>
      </c>
      <c r="BL88" s="34">
        <v>113</v>
      </c>
      <c r="BM88" s="27" t="s">
        <v>1931</v>
      </c>
      <c r="BN88" s="27" t="s">
        <v>34</v>
      </c>
      <c r="BO88" s="27" t="s">
        <v>1921</v>
      </c>
      <c r="BP88" s="29"/>
    </row>
    <row r="89" spans="1:68" ht="15.75" customHeight="1" x14ac:dyDescent="0.15">
      <c r="A89" s="27">
        <v>4691</v>
      </c>
      <c r="B89" s="27" t="s">
        <v>1239</v>
      </c>
      <c r="C89" s="27" t="s">
        <v>33</v>
      </c>
      <c r="D89" s="27">
        <v>870</v>
      </c>
      <c r="E89" s="27" t="s">
        <v>34</v>
      </c>
      <c r="F89" s="27" t="s">
        <v>34</v>
      </c>
      <c r="G89" s="27" t="s">
        <v>34</v>
      </c>
      <c r="H89" s="29"/>
      <c r="I89" s="27" t="s">
        <v>33</v>
      </c>
      <c r="J89" s="27">
        <v>870</v>
      </c>
      <c r="K89" s="27">
        <v>20</v>
      </c>
      <c r="L89" s="27" t="s">
        <v>34</v>
      </c>
      <c r="M89" s="27" t="s">
        <v>1932</v>
      </c>
      <c r="N89" s="29"/>
      <c r="O89" s="27" t="s">
        <v>33</v>
      </c>
      <c r="P89" s="27">
        <v>870</v>
      </c>
      <c r="Q89" s="27">
        <v>30</v>
      </c>
      <c r="R89" s="27" t="s">
        <v>34</v>
      </c>
      <c r="S89" s="27" t="s">
        <v>1933</v>
      </c>
      <c r="T89" s="29"/>
      <c r="U89" s="27" t="s">
        <v>33</v>
      </c>
      <c r="V89" s="27">
        <v>870</v>
      </c>
      <c r="W89" s="27">
        <v>30</v>
      </c>
      <c r="X89" s="27" t="s">
        <v>34</v>
      </c>
      <c r="Y89" s="27" t="s">
        <v>1934</v>
      </c>
      <c r="Z89" s="29"/>
      <c r="AA89" s="27" t="s">
        <v>33</v>
      </c>
      <c r="AB89" s="27">
        <v>870</v>
      </c>
      <c r="AC89" s="29" t="s">
        <v>1935</v>
      </c>
      <c r="AD89" s="27" t="s">
        <v>34</v>
      </c>
      <c r="AE89" s="27" t="s">
        <v>34</v>
      </c>
      <c r="AF89" s="29"/>
      <c r="AG89" s="27" t="s">
        <v>33</v>
      </c>
      <c r="AH89" s="27">
        <v>870</v>
      </c>
      <c r="AI89" s="27">
        <v>6</v>
      </c>
      <c r="AJ89" s="27" t="s">
        <v>34</v>
      </c>
      <c r="AK89" s="29" t="s">
        <v>1936</v>
      </c>
      <c r="AL89" s="29"/>
      <c r="AM89" s="27" t="s">
        <v>33</v>
      </c>
      <c r="AN89" s="27">
        <v>870</v>
      </c>
      <c r="AO89" s="27" t="s">
        <v>1937</v>
      </c>
      <c r="AP89" s="27" t="s">
        <v>34</v>
      </c>
      <c r="AQ89" s="27" t="s">
        <v>34</v>
      </c>
      <c r="AR89" s="29"/>
      <c r="AS89" s="27" t="s">
        <v>33</v>
      </c>
      <c r="AT89" s="27">
        <v>870</v>
      </c>
      <c r="AU89" s="27">
        <v>14</v>
      </c>
      <c r="AV89" s="27" t="s">
        <v>34</v>
      </c>
      <c r="AW89" s="27" t="s">
        <v>34</v>
      </c>
      <c r="AX89" s="29"/>
      <c r="AY89" s="27" t="s">
        <v>33</v>
      </c>
      <c r="AZ89" s="27">
        <v>870</v>
      </c>
      <c r="BA89" s="27">
        <v>77</v>
      </c>
      <c r="BB89" s="27" t="s">
        <v>34</v>
      </c>
      <c r="BC89" s="27" t="s">
        <v>1938</v>
      </c>
      <c r="BD89" s="27" t="s">
        <v>1939</v>
      </c>
      <c r="BE89" s="27" t="s">
        <v>33</v>
      </c>
      <c r="BF89" s="27">
        <v>870</v>
      </c>
      <c r="BG89" s="27">
        <v>41</v>
      </c>
      <c r="BH89" s="27" t="s">
        <v>34</v>
      </c>
      <c r="BI89" s="29" t="s">
        <v>1940</v>
      </c>
      <c r="BJ89" s="27" t="s">
        <v>1941</v>
      </c>
      <c r="BK89" s="27" t="s">
        <v>33</v>
      </c>
      <c r="BL89" s="27">
        <v>870</v>
      </c>
      <c r="BM89" s="27">
        <v>199</v>
      </c>
      <c r="BN89" s="27" t="s">
        <v>34</v>
      </c>
      <c r="BO89" s="29" t="s">
        <v>1942</v>
      </c>
      <c r="BP89" s="27" t="s">
        <v>1943</v>
      </c>
    </row>
    <row r="90" spans="1:68" ht="15.75" customHeight="1" x14ac:dyDescent="0.15">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row>
    <row r="91" spans="1:68" ht="15.75" customHeight="1" x14ac:dyDescent="0.15">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row>
    <row r="92" spans="1:68" ht="15.75" customHeight="1" x14ac:dyDescent="0.15">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row>
    <row r="93" spans="1:68" ht="15.75" customHeight="1" x14ac:dyDescent="0.15">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row>
    <row r="94" spans="1:68" ht="15.75" customHeight="1" x14ac:dyDescent="0.15">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row>
    <row r="95" spans="1:68" ht="15.75" customHeight="1" x14ac:dyDescent="0.1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row>
    <row r="96" spans="1:68" ht="15.75" customHeight="1" x14ac:dyDescent="0.15">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row>
    <row r="97" spans="1:68" ht="15.75" customHeight="1" x14ac:dyDescent="0.15">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row>
    <row r="98" spans="1:68" ht="15.75" customHeight="1" x14ac:dyDescent="0.15">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c r="BH98" s="45"/>
      <c r="BI98" s="45"/>
      <c r="BJ98" s="45"/>
      <c r="BK98" s="45"/>
      <c r="BL98" s="45"/>
      <c r="BM98" s="45"/>
      <c r="BN98" s="45"/>
      <c r="BO98" s="45"/>
      <c r="BP98" s="45"/>
    </row>
    <row r="99" spans="1:68" ht="15.75" customHeight="1" x14ac:dyDescent="0.15">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c r="BI99" s="45"/>
      <c r="BJ99" s="45"/>
      <c r="BK99" s="45"/>
      <c r="BL99" s="45"/>
      <c r="BM99" s="45"/>
      <c r="BN99" s="45"/>
      <c r="BO99" s="45"/>
      <c r="BP99" s="45"/>
    </row>
    <row r="100" spans="1:68" ht="15.75" customHeight="1" x14ac:dyDescent="0.15">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D100" s="45"/>
      <c r="BE100" s="45"/>
      <c r="BF100" s="45"/>
      <c r="BG100" s="45"/>
      <c r="BH100" s="45"/>
      <c r="BI100" s="45"/>
      <c r="BJ100" s="45"/>
      <c r="BK100" s="45"/>
      <c r="BL100" s="45"/>
      <c r="BM100" s="45"/>
      <c r="BN100" s="45"/>
      <c r="BO100" s="45"/>
      <c r="BP100" s="45"/>
    </row>
    <row r="101" spans="1:68" ht="15.75" customHeight="1" x14ac:dyDescent="0.15">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c r="BH101" s="45"/>
      <c r="BI101" s="45"/>
      <c r="BJ101" s="45"/>
      <c r="BK101" s="45"/>
      <c r="BL101" s="45"/>
      <c r="BM101" s="45"/>
      <c r="BN101" s="45"/>
      <c r="BO101" s="45"/>
      <c r="BP101" s="45"/>
    </row>
    <row r="102" spans="1:68" ht="15.75" customHeight="1" x14ac:dyDescent="0.15">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c r="BH102" s="45"/>
      <c r="BI102" s="45"/>
      <c r="BJ102" s="45"/>
      <c r="BK102" s="45"/>
      <c r="BL102" s="45"/>
      <c r="BM102" s="45"/>
      <c r="BN102" s="45"/>
      <c r="BO102" s="45"/>
      <c r="BP102" s="45"/>
    </row>
    <row r="103" spans="1:68" ht="15.75" customHeight="1" x14ac:dyDescent="0.15">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c r="BH103" s="45"/>
      <c r="BI103" s="45"/>
      <c r="BJ103" s="45"/>
      <c r="BK103" s="45"/>
      <c r="BL103" s="45"/>
      <c r="BM103" s="45"/>
      <c r="BN103" s="45"/>
      <c r="BO103" s="45"/>
      <c r="BP103" s="45"/>
    </row>
    <row r="104" spans="1:68" ht="15.75" customHeight="1" x14ac:dyDescent="0.15">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c r="BI104" s="45"/>
      <c r="BJ104" s="45"/>
      <c r="BK104" s="45"/>
      <c r="BL104" s="45"/>
      <c r="BM104" s="45"/>
      <c r="BN104" s="45"/>
      <c r="BO104" s="45"/>
      <c r="BP104" s="45"/>
    </row>
    <row r="105" spans="1:68" ht="15.75" customHeight="1" x14ac:dyDescent="0.1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c r="BH105" s="45"/>
      <c r="BI105" s="45"/>
      <c r="BJ105" s="45"/>
      <c r="BK105" s="45"/>
      <c r="BL105" s="45"/>
      <c r="BM105" s="45"/>
      <c r="BN105" s="45"/>
      <c r="BO105" s="45"/>
      <c r="BP105" s="45"/>
    </row>
    <row r="106" spans="1:68" ht="15.75" customHeight="1" x14ac:dyDescent="0.15">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c r="BH106" s="45"/>
      <c r="BI106" s="45"/>
      <c r="BJ106" s="45"/>
      <c r="BK106" s="45"/>
      <c r="BL106" s="45"/>
      <c r="BM106" s="45"/>
      <c r="BN106" s="45"/>
      <c r="BO106" s="45"/>
      <c r="BP106" s="45"/>
    </row>
    <row r="107" spans="1:68" ht="15.75" customHeight="1" x14ac:dyDescent="0.15">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c r="BH107" s="45"/>
      <c r="BI107" s="45"/>
      <c r="BJ107" s="45"/>
      <c r="BK107" s="45"/>
      <c r="BL107" s="45"/>
      <c r="BM107" s="45"/>
      <c r="BN107" s="45"/>
      <c r="BO107" s="45"/>
      <c r="BP107" s="45"/>
    </row>
    <row r="108" spans="1:68" ht="15.75" customHeight="1" x14ac:dyDescent="0.15">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c r="BH108" s="45"/>
      <c r="BI108" s="45"/>
      <c r="BJ108" s="45"/>
      <c r="BK108" s="45"/>
      <c r="BL108" s="45"/>
      <c r="BM108" s="45"/>
      <c r="BN108" s="45"/>
      <c r="BO108" s="45"/>
      <c r="BP108" s="45"/>
    </row>
    <row r="109" spans="1:68" ht="15.75" customHeight="1" x14ac:dyDescent="0.15">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c r="BH109" s="45"/>
      <c r="BI109" s="45"/>
      <c r="BJ109" s="45"/>
      <c r="BK109" s="45"/>
      <c r="BL109" s="45"/>
      <c r="BM109" s="45"/>
      <c r="BN109" s="45"/>
      <c r="BO109" s="45"/>
      <c r="BP109" s="45"/>
    </row>
    <row r="110" spans="1:68" ht="15.75" customHeight="1" x14ac:dyDescent="0.15">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45"/>
      <c r="BC110" s="45"/>
      <c r="BD110" s="45"/>
      <c r="BE110" s="45"/>
      <c r="BF110" s="45"/>
      <c r="BG110" s="45"/>
      <c r="BH110" s="45"/>
      <c r="BI110" s="45"/>
      <c r="BJ110" s="45"/>
      <c r="BK110" s="45"/>
      <c r="BL110" s="45"/>
      <c r="BM110" s="45"/>
      <c r="BN110" s="45"/>
      <c r="BO110" s="45"/>
      <c r="BP110" s="45"/>
    </row>
    <row r="111" spans="1:68" ht="15.75" customHeight="1" x14ac:dyDescent="0.15">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c r="BH111" s="45"/>
      <c r="BI111" s="45"/>
      <c r="BJ111" s="45"/>
      <c r="BK111" s="45"/>
      <c r="BL111" s="45"/>
      <c r="BM111" s="45"/>
      <c r="BN111" s="45"/>
      <c r="BO111" s="45"/>
      <c r="BP111" s="45"/>
    </row>
    <row r="112" spans="1:68" ht="15.75" customHeight="1" x14ac:dyDescent="0.15">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c r="BI112" s="45"/>
      <c r="BJ112" s="45"/>
      <c r="BK112" s="45"/>
      <c r="BL112" s="45"/>
      <c r="BM112" s="45"/>
      <c r="BN112" s="45"/>
      <c r="BO112" s="45"/>
      <c r="BP112" s="45"/>
    </row>
    <row r="113" spans="1:68" ht="15.75" customHeight="1" x14ac:dyDescent="0.15">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c r="BI113" s="45"/>
      <c r="BJ113" s="45"/>
      <c r="BK113" s="45"/>
      <c r="BL113" s="45"/>
      <c r="BM113" s="45"/>
      <c r="BN113" s="45"/>
      <c r="BO113" s="45"/>
      <c r="BP113" s="45"/>
    </row>
    <row r="114" spans="1:68" ht="15.75" customHeight="1" x14ac:dyDescent="0.15">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c r="BH114" s="45"/>
      <c r="BI114" s="45"/>
      <c r="BJ114" s="45"/>
      <c r="BK114" s="45"/>
      <c r="BL114" s="45"/>
      <c r="BM114" s="45"/>
      <c r="BN114" s="45"/>
      <c r="BO114" s="45"/>
      <c r="BP114" s="45"/>
    </row>
    <row r="115" spans="1:68" ht="15.75" customHeight="1" x14ac:dyDescent="0.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c r="BH115" s="45"/>
      <c r="BI115" s="45"/>
      <c r="BJ115" s="45"/>
      <c r="BK115" s="45"/>
      <c r="BL115" s="45"/>
      <c r="BM115" s="45"/>
      <c r="BN115" s="45"/>
      <c r="BO115" s="45"/>
      <c r="BP115" s="45"/>
    </row>
    <row r="116" spans="1:68" ht="15.75" customHeight="1" x14ac:dyDescent="0.15">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c r="BH116" s="45"/>
      <c r="BI116" s="45"/>
      <c r="BJ116" s="45"/>
      <c r="BK116" s="45"/>
      <c r="BL116" s="45"/>
      <c r="BM116" s="45"/>
      <c r="BN116" s="45"/>
      <c r="BO116" s="45"/>
      <c r="BP116" s="45"/>
    </row>
    <row r="117" spans="1:68" ht="15.75" customHeight="1" x14ac:dyDescent="0.15">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5"/>
      <c r="BE117" s="45"/>
      <c r="BF117" s="45"/>
      <c r="BG117" s="45"/>
      <c r="BH117" s="45"/>
      <c r="BI117" s="45"/>
      <c r="BJ117" s="45"/>
      <c r="BK117" s="45"/>
      <c r="BL117" s="45"/>
      <c r="BM117" s="45"/>
      <c r="BN117" s="45"/>
      <c r="BO117" s="45"/>
      <c r="BP117" s="45"/>
    </row>
    <row r="118" spans="1:68" ht="15.75" customHeight="1" x14ac:dyDescent="0.15">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c r="BH118" s="45"/>
      <c r="BI118" s="45"/>
      <c r="BJ118" s="45"/>
      <c r="BK118" s="45"/>
      <c r="BL118" s="45"/>
      <c r="BM118" s="45"/>
      <c r="BN118" s="45"/>
      <c r="BO118" s="45"/>
      <c r="BP118" s="45"/>
    </row>
    <row r="119" spans="1:68" ht="15.75" customHeight="1" x14ac:dyDescent="0.15">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c r="BH119" s="45"/>
      <c r="BI119" s="45"/>
      <c r="BJ119" s="45"/>
      <c r="BK119" s="45"/>
      <c r="BL119" s="45"/>
      <c r="BM119" s="45"/>
      <c r="BN119" s="45"/>
      <c r="BO119" s="45"/>
      <c r="BP119" s="45"/>
    </row>
    <row r="120" spans="1:68" ht="15.75" customHeight="1" x14ac:dyDescent="0.15">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c r="BH120" s="45"/>
      <c r="BI120" s="45"/>
      <c r="BJ120" s="45"/>
      <c r="BK120" s="45"/>
      <c r="BL120" s="45"/>
      <c r="BM120" s="45"/>
      <c r="BN120" s="45"/>
      <c r="BO120" s="45"/>
      <c r="BP120" s="45"/>
    </row>
    <row r="121" spans="1:68" ht="15.75" customHeight="1" x14ac:dyDescent="0.15">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c r="BH121" s="45"/>
      <c r="BI121" s="45"/>
      <c r="BJ121" s="45"/>
      <c r="BK121" s="45"/>
      <c r="BL121" s="45"/>
      <c r="BM121" s="45"/>
      <c r="BN121" s="45"/>
      <c r="BO121" s="45"/>
      <c r="BP121" s="45"/>
    </row>
    <row r="122" spans="1:68" ht="15.75" customHeight="1" x14ac:dyDescent="0.15">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c r="BH122" s="45"/>
      <c r="BI122" s="45"/>
      <c r="BJ122" s="45"/>
      <c r="BK122" s="45"/>
      <c r="BL122" s="45"/>
      <c r="BM122" s="45"/>
      <c r="BN122" s="45"/>
      <c r="BO122" s="45"/>
      <c r="BP122" s="45"/>
    </row>
    <row r="123" spans="1:68" ht="15.75" customHeight="1" x14ac:dyDescent="0.15">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c r="BH123" s="45"/>
      <c r="BI123" s="45"/>
      <c r="BJ123" s="45"/>
      <c r="BK123" s="45"/>
      <c r="BL123" s="45"/>
      <c r="BM123" s="45"/>
      <c r="BN123" s="45"/>
      <c r="BO123" s="45"/>
      <c r="BP123" s="45"/>
    </row>
    <row r="124" spans="1:68" ht="15.75" customHeight="1" x14ac:dyDescent="0.15">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c r="BH124" s="45"/>
      <c r="BI124" s="45"/>
      <c r="BJ124" s="45"/>
      <c r="BK124" s="45"/>
      <c r="BL124" s="45"/>
      <c r="BM124" s="45"/>
      <c r="BN124" s="45"/>
      <c r="BO124" s="45"/>
      <c r="BP124" s="45"/>
    </row>
    <row r="125" spans="1:68" ht="15.75" customHeight="1" x14ac:dyDescent="0.1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c r="AZ125" s="45"/>
      <c r="BA125" s="45"/>
      <c r="BB125" s="45"/>
      <c r="BC125" s="45"/>
      <c r="BD125" s="45"/>
      <c r="BE125" s="45"/>
      <c r="BF125" s="45"/>
      <c r="BG125" s="45"/>
      <c r="BH125" s="45"/>
      <c r="BI125" s="45"/>
      <c r="BJ125" s="45"/>
      <c r="BK125" s="45"/>
      <c r="BL125" s="45"/>
      <c r="BM125" s="45"/>
      <c r="BN125" s="45"/>
      <c r="BO125" s="45"/>
      <c r="BP125" s="45"/>
    </row>
    <row r="126" spans="1:68" ht="15.75" customHeight="1" x14ac:dyDescent="0.15">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c r="AT126" s="45"/>
      <c r="AU126" s="45"/>
      <c r="AV126" s="45"/>
      <c r="AW126" s="45"/>
      <c r="AX126" s="45"/>
      <c r="AY126" s="45"/>
      <c r="AZ126" s="45"/>
      <c r="BA126" s="45"/>
      <c r="BB126" s="45"/>
      <c r="BC126" s="45"/>
      <c r="BD126" s="45"/>
      <c r="BE126" s="45"/>
      <c r="BF126" s="45"/>
      <c r="BG126" s="45"/>
      <c r="BH126" s="45"/>
      <c r="BI126" s="45"/>
      <c r="BJ126" s="45"/>
      <c r="BK126" s="45"/>
      <c r="BL126" s="45"/>
      <c r="BM126" s="45"/>
      <c r="BN126" s="45"/>
      <c r="BO126" s="45"/>
      <c r="BP126" s="45"/>
    </row>
    <row r="127" spans="1:68" ht="15.75" customHeight="1" x14ac:dyDescent="0.15">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c r="AT127" s="45"/>
      <c r="AU127" s="45"/>
      <c r="AV127" s="45"/>
      <c r="AW127" s="45"/>
      <c r="AX127" s="45"/>
      <c r="AY127" s="45"/>
      <c r="AZ127" s="45"/>
      <c r="BA127" s="45"/>
      <c r="BB127" s="45"/>
      <c r="BC127" s="45"/>
      <c r="BD127" s="45"/>
      <c r="BE127" s="45"/>
      <c r="BF127" s="45"/>
      <c r="BG127" s="45"/>
      <c r="BH127" s="45"/>
      <c r="BI127" s="45"/>
      <c r="BJ127" s="45"/>
      <c r="BK127" s="45"/>
      <c r="BL127" s="45"/>
      <c r="BM127" s="45"/>
      <c r="BN127" s="45"/>
      <c r="BO127" s="45"/>
      <c r="BP127" s="45"/>
    </row>
    <row r="128" spans="1:68" ht="15.75" customHeight="1" x14ac:dyDescent="0.15">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c r="BH128" s="45"/>
      <c r="BI128" s="45"/>
      <c r="BJ128" s="45"/>
      <c r="BK128" s="45"/>
      <c r="BL128" s="45"/>
      <c r="BM128" s="45"/>
      <c r="BN128" s="45"/>
      <c r="BO128" s="45"/>
      <c r="BP128" s="45"/>
    </row>
    <row r="129" spans="1:68" ht="15.75" customHeight="1" x14ac:dyDescent="0.15">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c r="AT129" s="45"/>
      <c r="AU129" s="45"/>
      <c r="AV129" s="45"/>
      <c r="AW129" s="45"/>
      <c r="AX129" s="45"/>
      <c r="AY129" s="45"/>
      <c r="AZ129" s="45"/>
      <c r="BA129" s="45"/>
      <c r="BB129" s="45"/>
      <c r="BC129" s="45"/>
      <c r="BD129" s="45"/>
      <c r="BE129" s="45"/>
      <c r="BF129" s="45"/>
      <c r="BG129" s="45"/>
      <c r="BH129" s="45"/>
      <c r="BI129" s="45"/>
      <c r="BJ129" s="45"/>
      <c r="BK129" s="45"/>
      <c r="BL129" s="45"/>
      <c r="BM129" s="45"/>
      <c r="BN129" s="45"/>
      <c r="BO129" s="45"/>
      <c r="BP129" s="45"/>
    </row>
    <row r="130" spans="1:68" ht="15.75" customHeight="1" x14ac:dyDescent="0.15">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c r="AT130" s="45"/>
      <c r="AU130" s="45"/>
      <c r="AV130" s="45"/>
      <c r="AW130" s="45"/>
      <c r="AX130" s="45"/>
      <c r="AY130" s="45"/>
      <c r="AZ130" s="45"/>
      <c r="BA130" s="45"/>
      <c r="BB130" s="45"/>
      <c r="BC130" s="45"/>
      <c r="BD130" s="45"/>
      <c r="BE130" s="45"/>
      <c r="BF130" s="45"/>
      <c r="BG130" s="45"/>
      <c r="BH130" s="45"/>
      <c r="BI130" s="45"/>
      <c r="BJ130" s="45"/>
      <c r="BK130" s="45"/>
      <c r="BL130" s="45"/>
      <c r="BM130" s="45"/>
      <c r="BN130" s="45"/>
      <c r="BO130" s="45"/>
      <c r="BP130" s="45"/>
    </row>
    <row r="131" spans="1:68" ht="15.75" customHeight="1" x14ac:dyDescent="0.15">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5"/>
    </row>
    <row r="132" spans="1:68" ht="15.75" customHeight="1" x14ac:dyDescent="0.15">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c r="BH132" s="45"/>
      <c r="BI132" s="45"/>
      <c r="BJ132" s="45"/>
      <c r="BK132" s="45"/>
      <c r="BL132" s="45"/>
      <c r="BM132" s="45"/>
      <c r="BN132" s="45"/>
      <c r="BO132" s="45"/>
      <c r="BP132" s="45"/>
    </row>
    <row r="133" spans="1:68" ht="15.75" customHeight="1" x14ac:dyDescent="0.15">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c r="BH133" s="45"/>
      <c r="BI133" s="45"/>
      <c r="BJ133" s="45"/>
      <c r="BK133" s="45"/>
      <c r="BL133" s="45"/>
      <c r="BM133" s="45"/>
      <c r="BN133" s="45"/>
      <c r="BO133" s="45"/>
      <c r="BP133" s="45"/>
    </row>
    <row r="134" spans="1:68" ht="15.75" customHeight="1" x14ac:dyDescent="0.15">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c r="BI134" s="45"/>
      <c r="BJ134" s="45"/>
      <c r="BK134" s="45"/>
      <c r="BL134" s="45"/>
      <c r="BM134" s="45"/>
      <c r="BN134" s="45"/>
      <c r="BO134" s="45"/>
      <c r="BP134" s="45"/>
    </row>
    <row r="135" spans="1:68" ht="15.75" customHeight="1" x14ac:dyDescent="0.1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c r="BH135" s="45"/>
      <c r="BI135" s="45"/>
      <c r="BJ135" s="45"/>
      <c r="BK135" s="45"/>
      <c r="BL135" s="45"/>
      <c r="BM135" s="45"/>
      <c r="BN135" s="45"/>
      <c r="BO135" s="45"/>
      <c r="BP135" s="45"/>
    </row>
    <row r="136" spans="1:68" ht="15.75" customHeight="1" x14ac:dyDescent="0.15">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c r="AT136" s="45"/>
      <c r="AU136" s="45"/>
      <c r="AV136" s="45"/>
      <c r="AW136" s="45"/>
      <c r="AX136" s="45"/>
      <c r="AY136" s="45"/>
      <c r="AZ136" s="45"/>
      <c r="BA136" s="45"/>
      <c r="BB136" s="45"/>
      <c r="BC136" s="45"/>
      <c r="BD136" s="45"/>
      <c r="BE136" s="45"/>
      <c r="BF136" s="45"/>
      <c r="BG136" s="45"/>
      <c r="BH136" s="45"/>
      <c r="BI136" s="45"/>
      <c r="BJ136" s="45"/>
      <c r="BK136" s="45"/>
      <c r="BL136" s="45"/>
      <c r="BM136" s="45"/>
      <c r="BN136" s="45"/>
      <c r="BO136" s="45"/>
      <c r="BP136" s="45"/>
    </row>
    <row r="137" spans="1:68" ht="15.75" customHeight="1" x14ac:dyDescent="0.15">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c r="AT137" s="45"/>
      <c r="AU137" s="45"/>
      <c r="AV137" s="45"/>
      <c r="AW137" s="45"/>
      <c r="AX137" s="45"/>
      <c r="AY137" s="45"/>
      <c r="AZ137" s="45"/>
      <c r="BA137" s="45"/>
      <c r="BB137" s="45"/>
      <c r="BC137" s="45"/>
      <c r="BD137" s="45"/>
      <c r="BE137" s="45"/>
      <c r="BF137" s="45"/>
      <c r="BG137" s="45"/>
      <c r="BH137" s="45"/>
      <c r="BI137" s="45"/>
      <c r="BJ137" s="45"/>
      <c r="BK137" s="45"/>
      <c r="BL137" s="45"/>
      <c r="BM137" s="45"/>
      <c r="BN137" s="45"/>
      <c r="BO137" s="45"/>
      <c r="BP137" s="45"/>
    </row>
    <row r="138" spans="1:68" ht="15.75" customHeight="1" x14ac:dyDescent="0.15">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c r="AT138" s="45"/>
      <c r="AU138" s="45"/>
      <c r="AV138" s="45"/>
      <c r="AW138" s="45"/>
      <c r="AX138" s="45"/>
      <c r="AY138" s="45"/>
      <c r="AZ138" s="45"/>
      <c r="BA138" s="45"/>
      <c r="BB138" s="45"/>
      <c r="BC138" s="45"/>
      <c r="BD138" s="45"/>
      <c r="BE138" s="45"/>
      <c r="BF138" s="45"/>
      <c r="BG138" s="45"/>
      <c r="BH138" s="45"/>
      <c r="BI138" s="45"/>
      <c r="BJ138" s="45"/>
      <c r="BK138" s="45"/>
      <c r="BL138" s="45"/>
      <c r="BM138" s="45"/>
      <c r="BN138" s="45"/>
      <c r="BO138" s="45"/>
      <c r="BP138" s="45"/>
    </row>
    <row r="139" spans="1:68" ht="15.75" customHeight="1" x14ac:dyDescent="0.15">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c r="AT139" s="45"/>
      <c r="AU139" s="45"/>
      <c r="AV139" s="45"/>
      <c r="AW139" s="45"/>
      <c r="AX139" s="45"/>
      <c r="AY139" s="45"/>
      <c r="AZ139" s="45"/>
      <c r="BA139" s="45"/>
      <c r="BB139" s="45"/>
      <c r="BC139" s="45"/>
      <c r="BD139" s="45"/>
      <c r="BE139" s="45"/>
      <c r="BF139" s="45"/>
      <c r="BG139" s="45"/>
      <c r="BH139" s="45"/>
      <c r="BI139" s="45"/>
      <c r="BJ139" s="45"/>
      <c r="BK139" s="45"/>
      <c r="BL139" s="45"/>
      <c r="BM139" s="45"/>
      <c r="BN139" s="45"/>
      <c r="BO139" s="45"/>
      <c r="BP139" s="45"/>
    </row>
    <row r="140" spans="1:68" ht="15.75" customHeight="1" x14ac:dyDescent="0.15">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c r="BH140" s="45"/>
      <c r="BI140" s="45"/>
      <c r="BJ140" s="45"/>
      <c r="BK140" s="45"/>
      <c r="BL140" s="45"/>
      <c r="BM140" s="45"/>
      <c r="BN140" s="45"/>
      <c r="BO140" s="45"/>
      <c r="BP140" s="45"/>
    </row>
    <row r="141" spans="1:68" ht="15.75" customHeight="1" x14ac:dyDescent="0.15">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c r="AT141" s="45"/>
      <c r="AU141" s="45"/>
      <c r="AV141" s="45"/>
      <c r="AW141" s="45"/>
      <c r="AX141" s="45"/>
      <c r="AY141" s="45"/>
      <c r="AZ141" s="45"/>
      <c r="BA141" s="45"/>
      <c r="BB141" s="45"/>
      <c r="BC141" s="45"/>
      <c r="BD141" s="45"/>
      <c r="BE141" s="45"/>
      <c r="BF141" s="45"/>
      <c r="BG141" s="45"/>
      <c r="BH141" s="45"/>
      <c r="BI141" s="45"/>
      <c r="BJ141" s="45"/>
      <c r="BK141" s="45"/>
      <c r="BL141" s="45"/>
      <c r="BM141" s="45"/>
      <c r="BN141" s="45"/>
      <c r="BO141" s="45"/>
      <c r="BP141" s="45"/>
    </row>
    <row r="142" spans="1:68" ht="15.75" customHeight="1" x14ac:dyDescent="0.15">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c r="BH142" s="45"/>
      <c r="BI142" s="45"/>
      <c r="BJ142" s="45"/>
      <c r="BK142" s="45"/>
      <c r="BL142" s="45"/>
      <c r="BM142" s="45"/>
      <c r="BN142" s="45"/>
      <c r="BO142" s="45"/>
      <c r="BP142" s="45"/>
    </row>
    <row r="143" spans="1:68" ht="15.75" customHeight="1" x14ac:dyDescent="0.15">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45"/>
      <c r="BD143" s="45"/>
      <c r="BE143" s="45"/>
      <c r="BF143" s="45"/>
      <c r="BG143" s="45"/>
      <c r="BH143" s="45"/>
      <c r="BI143" s="45"/>
      <c r="BJ143" s="45"/>
      <c r="BK143" s="45"/>
      <c r="BL143" s="45"/>
      <c r="BM143" s="45"/>
      <c r="BN143" s="45"/>
      <c r="BO143" s="45"/>
      <c r="BP143" s="45"/>
    </row>
    <row r="144" spans="1:68" ht="15.75" customHeight="1" x14ac:dyDescent="0.15">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c r="BH144" s="45"/>
      <c r="BI144" s="45"/>
      <c r="BJ144" s="45"/>
      <c r="BK144" s="45"/>
      <c r="BL144" s="45"/>
      <c r="BM144" s="45"/>
      <c r="BN144" s="45"/>
      <c r="BO144" s="45"/>
      <c r="BP144" s="45"/>
    </row>
    <row r="145" spans="1:68" ht="15.75" customHeight="1" x14ac:dyDescent="0.1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45"/>
      <c r="BD145" s="45"/>
      <c r="BE145" s="45"/>
      <c r="BF145" s="45"/>
      <c r="BG145" s="45"/>
      <c r="BH145" s="45"/>
      <c r="BI145" s="45"/>
      <c r="BJ145" s="45"/>
      <c r="BK145" s="45"/>
      <c r="BL145" s="45"/>
      <c r="BM145" s="45"/>
      <c r="BN145" s="45"/>
      <c r="BO145" s="45"/>
      <c r="BP145" s="45"/>
    </row>
    <row r="146" spans="1:68" ht="15.75" customHeight="1" x14ac:dyDescent="0.15">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c r="BH146" s="45"/>
      <c r="BI146" s="45"/>
      <c r="BJ146" s="45"/>
      <c r="BK146" s="45"/>
      <c r="BL146" s="45"/>
      <c r="BM146" s="45"/>
      <c r="BN146" s="45"/>
      <c r="BO146" s="45"/>
      <c r="BP146" s="45"/>
    </row>
    <row r="147" spans="1:68" ht="15.75" customHeight="1" x14ac:dyDescent="0.15">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5"/>
      <c r="BE147" s="45"/>
      <c r="BF147" s="45"/>
      <c r="BG147" s="45"/>
      <c r="BH147" s="45"/>
      <c r="BI147" s="45"/>
      <c r="BJ147" s="45"/>
      <c r="BK147" s="45"/>
      <c r="BL147" s="45"/>
      <c r="BM147" s="45"/>
      <c r="BN147" s="45"/>
      <c r="BO147" s="45"/>
      <c r="BP147" s="45"/>
    </row>
    <row r="148" spans="1:68" ht="15.75" customHeight="1" x14ac:dyDescent="0.15">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c r="BH148" s="45"/>
      <c r="BI148" s="45"/>
      <c r="BJ148" s="45"/>
      <c r="BK148" s="45"/>
      <c r="BL148" s="45"/>
      <c r="BM148" s="45"/>
      <c r="BN148" s="45"/>
      <c r="BO148" s="45"/>
      <c r="BP148" s="45"/>
    </row>
    <row r="149" spans="1:68" ht="15.75" customHeight="1" x14ac:dyDescent="0.15">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c r="BH149" s="45"/>
      <c r="BI149" s="45"/>
      <c r="BJ149" s="45"/>
      <c r="BK149" s="45"/>
      <c r="BL149" s="45"/>
      <c r="BM149" s="45"/>
      <c r="BN149" s="45"/>
      <c r="BO149" s="45"/>
      <c r="BP149" s="45"/>
    </row>
    <row r="150" spans="1:68" ht="15.75" customHeight="1" x14ac:dyDescent="0.15">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c r="BH150" s="45"/>
      <c r="BI150" s="45"/>
      <c r="BJ150" s="45"/>
      <c r="BK150" s="45"/>
      <c r="BL150" s="45"/>
      <c r="BM150" s="45"/>
      <c r="BN150" s="45"/>
      <c r="BO150" s="45"/>
      <c r="BP150" s="45"/>
    </row>
    <row r="151" spans="1:68" ht="15.75" customHeight="1" x14ac:dyDescent="0.15">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c r="BH151" s="45"/>
      <c r="BI151" s="45"/>
      <c r="BJ151" s="45"/>
      <c r="BK151" s="45"/>
      <c r="BL151" s="45"/>
      <c r="BM151" s="45"/>
      <c r="BN151" s="45"/>
      <c r="BO151" s="45"/>
      <c r="BP151" s="45"/>
    </row>
    <row r="152" spans="1:68" ht="15.75" customHeight="1" x14ac:dyDescent="0.15">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5"/>
      <c r="BE152" s="45"/>
      <c r="BF152" s="45"/>
      <c r="BG152" s="45"/>
      <c r="BH152" s="45"/>
      <c r="BI152" s="45"/>
      <c r="BJ152" s="45"/>
      <c r="BK152" s="45"/>
      <c r="BL152" s="45"/>
      <c r="BM152" s="45"/>
      <c r="BN152" s="45"/>
      <c r="BO152" s="45"/>
      <c r="BP152" s="45"/>
    </row>
    <row r="153" spans="1:68" ht="15.75" customHeight="1" x14ac:dyDescent="0.15">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c r="BH153" s="45"/>
      <c r="BI153" s="45"/>
      <c r="BJ153" s="45"/>
      <c r="BK153" s="45"/>
      <c r="BL153" s="45"/>
      <c r="BM153" s="45"/>
      <c r="BN153" s="45"/>
      <c r="BO153" s="45"/>
      <c r="BP153" s="45"/>
    </row>
    <row r="154" spans="1:68" ht="15.75" customHeight="1" x14ac:dyDescent="0.15">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c r="BH154" s="45"/>
      <c r="BI154" s="45"/>
      <c r="BJ154" s="45"/>
      <c r="BK154" s="45"/>
      <c r="BL154" s="45"/>
      <c r="BM154" s="45"/>
      <c r="BN154" s="45"/>
      <c r="BO154" s="45"/>
      <c r="BP154" s="45"/>
    </row>
    <row r="155" spans="1:68" ht="15.75" customHeight="1" x14ac:dyDescent="0.1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45"/>
      <c r="AW155" s="45"/>
      <c r="AX155" s="45"/>
      <c r="AY155" s="45"/>
      <c r="AZ155" s="45"/>
      <c r="BA155" s="45"/>
      <c r="BB155" s="45"/>
      <c r="BC155" s="45"/>
      <c r="BD155" s="45"/>
      <c r="BE155" s="45"/>
      <c r="BF155" s="45"/>
      <c r="BG155" s="45"/>
      <c r="BH155" s="45"/>
      <c r="BI155" s="45"/>
      <c r="BJ155" s="45"/>
      <c r="BK155" s="45"/>
      <c r="BL155" s="45"/>
      <c r="BM155" s="45"/>
      <c r="BN155" s="45"/>
      <c r="BO155" s="45"/>
      <c r="BP155" s="45"/>
    </row>
    <row r="156" spans="1:68" ht="15.75" customHeight="1" x14ac:dyDescent="0.15">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5"/>
      <c r="BG156" s="45"/>
      <c r="BH156" s="45"/>
      <c r="BI156" s="45"/>
      <c r="BJ156" s="45"/>
      <c r="BK156" s="45"/>
      <c r="BL156" s="45"/>
      <c r="BM156" s="45"/>
      <c r="BN156" s="45"/>
      <c r="BO156" s="45"/>
      <c r="BP156" s="45"/>
    </row>
    <row r="157" spans="1:68" ht="15.75" customHeight="1" x14ac:dyDescent="0.15">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c r="BH157" s="45"/>
      <c r="BI157" s="45"/>
      <c r="BJ157" s="45"/>
      <c r="BK157" s="45"/>
      <c r="BL157" s="45"/>
      <c r="BM157" s="45"/>
      <c r="BN157" s="45"/>
      <c r="BO157" s="45"/>
      <c r="BP157" s="45"/>
    </row>
    <row r="158" spans="1:68" ht="15.75" customHeight="1" x14ac:dyDescent="0.15">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c r="BH158" s="45"/>
      <c r="BI158" s="45"/>
      <c r="BJ158" s="45"/>
      <c r="BK158" s="45"/>
      <c r="BL158" s="45"/>
      <c r="BM158" s="45"/>
      <c r="BN158" s="45"/>
      <c r="BO158" s="45"/>
      <c r="BP158" s="45"/>
    </row>
    <row r="159" spans="1:68" ht="15.75" customHeight="1" x14ac:dyDescent="0.15">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c r="BH159" s="45"/>
      <c r="BI159" s="45"/>
      <c r="BJ159" s="45"/>
      <c r="BK159" s="45"/>
      <c r="BL159" s="45"/>
      <c r="BM159" s="45"/>
      <c r="BN159" s="45"/>
      <c r="BO159" s="45"/>
      <c r="BP159" s="45"/>
    </row>
    <row r="160" spans="1:68" ht="15.75" customHeight="1" x14ac:dyDescent="0.15">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c r="BH160" s="45"/>
      <c r="BI160" s="45"/>
      <c r="BJ160" s="45"/>
      <c r="BK160" s="45"/>
      <c r="BL160" s="45"/>
      <c r="BM160" s="45"/>
      <c r="BN160" s="45"/>
      <c r="BO160" s="45"/>
      <c r="BP160" s="45"/>
    </row>
    <row r="161" spans="1:68" ht="15.75" customHeight="1" x14ac:dyDescent="0.15">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c r="BH161" s="45"/>
      <c r="BI161" s="45"/>
      <c r="BJ161" s="45"/>
      <c r="BK161" s="45"/>
      <c r="BL161" s="45"/>
      <c r="BM161" s="45"/>
      <c r="BN161" s="45"/>
      <c r="BO161" s="45"/>
      <c r="BP161" s="45"/>
    </row>
    <row r="162" spans="1:68" ht="15.75" customHeight="1" x14ac:dyDescent="0.15">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5"/>
      <c r="BE162" s="45"/>
      <c r="BF162" s="45"/>
      <c r="BG162" s="45"/>
      <c r="BH162" s="45"/>
      <c r="BI162" s="45"/>
      <c r="BJ162" s="45"/>
      <c r="BK162" s="45"/>
      <c r="BL162" s="45"/>
      <c r="BM162" s="45"/>
      <c r="BN162" s="45"/>
      <c r="BO162" s="45"/>
      <c r="BP162" s="45"/>
    </row>
    <row r="163" spans="1:68" ht="15.75" customHeight="1" x14ac:dyDescent="0.15">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c r="BH163" s="45"/>
      <c r="BI163" s="45"/>
      <c r="BJ163" s="45"/>
      <c r="BK163" s="45"/>
      <c r="BL163" s="45"/>
      <c r="BM163" s="45"/>
      <c r="BN163" s="45"/>
      <c r="BO163" s="45"/>
      <c r="BP163" s="45"/>
    </row>
    <row r="164" spans="1:68" ht="15.75" customHeight="1" x14ac:dyDescent="0.15">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c r="BH164" s="45"/>
      <c r="BI164" s="45"/>
      <c r="BJ164" s="45"/>
      <c r="BK164" s="45"/>
      <c r="BL164" s="45"/>
      <c r="BM164" s="45"/>
      <c r="BN164" s="45"/>
      <c r="BO164" s="45"/>
      <c r="BP164" s="45"/>
    </row>
    <row r="165" spans="1:68" ht="15.75" customHeight="1" x14ac:dyDescent="0.1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c r="BH165" s="45"/>
      <c r="BI165" s="45"/>
      <c r="BJ165" s="45"/>
      <c r="BK165" s="45"/>
      <c r="BL165" s="45"/>
      <c r="BM165" s="45"/>
      <c r="BN165" s="45"/>
      <c r="BO165" s="45"/>
      <c r="BP165" s="45"/>
    </row>
    <row r="166" spans="1:68" ht="15.75" customHeight="1" x14ac:dyDescent="0.15">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s="45"/>
      <c r="BJ166" s="45"/>
      <c r="BK166" s="45"/>
      <c r="BL166" s="45"/>
      <c r="BM166" s="45"/>
      <c r="BN166" s="45"/>
      <c r="BO166" s="45"/>
      <c r="BP166" s="45"/>
    </row>
    <row r="167" spans="1:68" ht="15.75" customHeight="1" x14ac:dyDescent="0.15">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c r="BH167" s="45"/>
      <c r="BI167" s="45"/>
      <c r="BJ167" s="45"/>
      <c r="BK167" s="45"/>
      <c r="BL167" s="45"/>
      <c r="BM167" s="45"/>
      <c r="BN167" s="45"/>
      <c r="BO167" s="45"/>
      <c r="BP167" s="45"/>
    </row>
    <row r="168" spans="1:68" ht="15.75" customHeight="1" x14ac:dyDescent="0.15">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c r="BH168" s="45"/>
      <c r="BI168" s="45"/>
      <c r="BJ168" s="45"/>
      <c r="BK168" s="45"/>
      <c r="BL168" s="45"/>
      <c r="BM168" s="45"/>
      <c r="BN168" s="45"/>
      <c r="BO168" s="45"/>
      <c r="BP168" s="45"/>
    </row>
    <row r="169" spans="1:68" ht="15.75" customHeight="1" x14ac:dyDescent="0.15">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5"/>
      <c r="BE169" s="45"/>
      <c r="BF169" s="45"/>
      <c r="BG169" s="45"/>
      <c r="BH169" s="45"/>
      <c r="BI169" s="45"/>
      <c r="BJ169" s="45"/>
      <c r="BK169" s="45"/>
      <c r="BL169" s="45"/>
      <c r="BM169" s="45"/>
      <c r="BN169" s="45"/>
      <c r="BO169" s="45"/>
      <c r="BP169" s="45"/>
    </row>
    <row r="170" spans="1:68" ht="15.75" customHeight="1" x14ac:dyDescent="0.15">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c r="BH170" s="45"/>
      <c r="BI170" s="45"/>
      <c r="BJ170" s="45"/>
      <c r="BK170" s="45"/>
      <c r="BL170" s="45"/>
      <c r="BM170" s="45"/>
      <c r="BN170" s="45"/>
      <c r="BO170" s="45"/>
      <c r="BP170" s="45"/>
    </row>
    <row r="171" spans="1:68" ht="15.75" customHeight="1" x14ac:dyDescent="0.15">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c r="BH171" s="45"/>
      <c r="BI171" s="45"/>
      <c r="BJ171" s="45"/>
      <c r="BK171" s="45"/>
      <c r="BL171" s="45"/>
      <c r="BM171" s="45"/>
      <c r="BN171" s="45"/>
      <c r="BO171" s="45"/>
      <c r="BP171" s="45"/>
    </row>
    <row r="172" spans="1:68" ht="15.75" customHeight="1" x14ac:dyDescent="0.15">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c r="BH172" s="45"/>
      <c r="BI172" s="45"/>
      <c r="BJ172" s="45"/>
      <c r="BK172" s="45"/>
      <c r="BL172" s="45"/>
      <c r="BM172" s="45"/>
      <c r="BN172" s="45"/>
      <c r="BO172" s="45"/>
      <c r="BP172" s="45"/>
    </row>
    <row r="173" spans="1:68" ht="15.75" customHeight="1" x14ac:dyDescent="0.15">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5"/>
      <c r="BE173" s="45"/>
      <c r="BF173" s="45"/>
      <c r="BG173" s="45"/>
      <c r="BH173" s="45"/>
      <c r="BI173" s="45"/>
      <c r="BJ173" s="45"/>
      <c r="BK173" s="45"/>
      <c r="BL173" s="45"/>
      <c r="BM173" s="45"/>
      <c r="BN173" s="45"/>
      <c r="BO173" s="45"/>
      <c r="BP173" s="45"/>
    </row>
    <row r="174" spans="1:68" ht="15.75" customHeight="1" x14ac:dyDescent="0.15">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c r="BH174" s="45"/>
      <c r="BI174" s="45"/>
      <c r="BJ174" s="45"/>
      <c r="BK174" s="45"/>
      <c r="BL174" s="45"/>
      <c r="BM174" s="45"/>
      <c r="BN174" s="45"/>
      <c r="BO174" s="45"/>
      <c r="BP174" s="45"/>
    </row>
    <row r="175" spans="1:68" ht="15.75" customHeight="1" x14ac:dyDescent="0.1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c r="BH175" s="45"/>
      <c r="BI175" s="45"/>
      <c r="BJ175" s="45"/>
      <c r="BK175" s="45"/>
      <c r="BL175" s="45"/>
      <c r="BM175" s="45"/>
      <c r="BN175" s="45"/>
      <c r="BO175" s="45"/>
      <c r="BP175" s="45"/>
    </row>
    <row r="176" spans="1:68" ht="15.75" customHeight="1" x14ac:dyDescent="0.15">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c r="BH176" s="45"/>
      <c r="BI176" s="45"/>
      <c r="BJ176" s="45"/>
      <c r="BK176" s="45"/>
      <c r="BL176" s="45"/>
      <c r="BM176" s="45"/>
      <c r="BN176" s="45"/>
      <c r="BO176" s="45"/>
      <c r="BP176" s="45"/>
    </row>
    <row r="177" spans="1:68" ht="15.75" customHeight="1" x14ac:dyDescent="0.15">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c r="BI177" s="45"/>
      <c r="BJ177" s="45"/>
      <c r="BK177" s="45"/>
      <c r="BL177" s="45"/>
      <c r="BM177" s="45"/>
      <c r="BN177" s="45"/>
      <c r="BO177" s="45"/>
      <c r="BP177" s="45"/>
    </row>
    <row r="178" spans="1:68" ht="15.75" customHeight="1" x14ac:dyDescent="0.15">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c r="BI178" s="45"/>
      <c r="BJ178" s="45"/>
      <c r="BK178" s="45"/>
      <c r="BL178" s="45"/>
      <c r="BM178" s="45"/>
      <c r="BN178" s="45"/>
      <c r="BO178" s="45"/>
      <c r="BP178" s="45"/>
    </row>
    <row r="179" spans="1:68" ht="15.75" customHeight="1" x14ac:dyDescent="0.15">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s="45"/>
      <c r="BJ179" s="45"/>
      <c r="BK179" s="45"/>
      <c r="BL179" s="45"/>
      <c r="BM179" s="45"/>
      <c r="BN179" s="45"/>
      <c r="BO179" s="45"/>
      <c r="BP179" s="45"/>
    </row>
    <row r="180" spans="1:68" ht="15.75" customHeight="1" x14ac:dyDescent="0.15">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c r="BH180" s="45"/>
      <c r="BI180" s="45"/>
      <c r="BJ180" s="45"/>
      <c r="BK180" s="45"/>
      <c r="BL180" s="45"/>
      <c r="BM180" s="45"/>
      <c r="BN180" s="45"/>
      <c r="BO180" s="45"/>
      <c r="BP180" s="45"/>
    </row>
    <row r="181" spans="1:68" ht="15.75" customHeight="1" x14ac:dyDescent="0.15">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c r="BI181" s="45"/>
      <c r="BJ181" s="45"/>
      <c r="BK181" s="45"/>
      <c r="BL181" s="45"/>
      <c r="BM181" s="45"/>
      <c r="BN181" s="45"/>
      <c r="BO181" s="45"/>
      <c r="BP181" s="45"/>
    </row>
    <row r="182" spans="1:68" ht="15.75" customHeight="1" x14ac:dyDescent="0.15">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c r="BH182" s="45"/>
      <c r="BI182" s="45"/>
      <c r="BJ182" s="45"/>
      <c r="BK182" s="45"/>
      <c r="BL182" s="45"/>
      <c r="BM182" s="45"/>
      <c r="BN182" s="45"/>
      <c r="BO182" s="45"/>
      <c r="BP182" s="45"/>
    </row>
    <row r="183" spans="1:68" ht="15.75" customHeight="1" x14ac:dyDescent="0.15">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5"/>
      <c r="BE183" s="45"/>
      <c r="BF183" s="45"/>
      <c r="BG183" s="45"/>
      <c r="BH183" s="45"/>
      <c r="BI183" s="45"/>
      <c r="BJ183" s="45"/>
      <c r="BK183" s="45"/>
      <c r="BL183" s="45"/>
      <c r="BM183" s="45"/>
      <c r="BN183" s="45"/>
      <c r="BO183" s="45"/>
      <c r="BP183" s="45"/>
    </row>
    <row r="184" spans="1:68" ht="15.75" customHeight="1" x14ac:dyDescent="0.15">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c r="BH184" s="45"/>
      <c r="BI184" s="45"/>
      <c r="BJ184" s="45"/>
      <c r="BK184" s="45"/>
      <c r="BL184" s="45"/>
      <c r="BM184" s="45"/>
      <c r="BN184" s="45"/>
      <c r="BO184" s="45"/>
      <c r="BP184" s="45"/>
    </row>
    <row r="185" spans="1:68" ht="15.75" customHeight="1" x14ac:dyDescent="0.1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c r="BH185" s="45"/>
      <c r="BI185" s="45"/>
      <c r="BJ185" s="45"/>
      <c r="BK185" s="45"/>
      <c r="BL185" s="45"/>
      <c r="BM185" s="45"/>
      <c r="BN185" s="45"/>
      <c r="BO185" s="45"/>
      <c r="BP185" s="45"/>
    </row>
    <row r="186" spans="1:68" ht="15.75" customHeight="1" x14ac:dyDescent="0.15">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c r="BH186" s="45"/>
      <c r="BI186" s="45"/>
      <c r="BJ186" s="45"/>
      <c r="BK186" s="45"/>
      <c r="BL186" s="45"/>
      <c r="BM186" s="45"/>
      <c r="BN186" s="45"/>
      <c r="BO186" s="45"/>
      <c r="BP186" s="45"/>
    </row>
    <row r="187" spans="1:68" ht="15.75" customHeight="1" x14ac:dyDescent="0.15">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c r="BH187" s="45"/>
      <c r="BI187" s="45"/>
      <c r="BJ187" s="45"/>
      <c r="BK187" s="45"/>
      <c r="BL187" s="45"/>
      <c r="BM187" s="45"/>
      <c r="BN187" s="45"/>
      <c r="BO187" s="45"/>
      <c r="BP187" s="45"/>
    </row>
    <row r="188" spans="1:68" ht="15.75" customHeight="1" x14ac:dyDescent="0.15">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c r="BH188" s="45"/>
      <c r="BI188" s="45"/>
      <c r="BJ188" s="45"/>
      <c r="BK188" s="45"/>
      <c r="BL188" s="45"/>
      <c r="BM188" s="45"/>
      <c r="BN188" s="45"/>
      <c r="BO188" s="45"/>
      <c r="BP188" s="45"/>
    </row>
    <row r="189" spans="1:68" ht="15.75" customHeight="1" x14ac:dyDescent="0.15">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c r="BI189" s="45"/>
      <c r="BJ189" s="45"/>
      <c r="BK189" s="45"/>
      <c r="BL189" s="45"/>
      <c r="BM189" s="45"/>
      <c r="BN189" s="45"/>
      <c r="BO189" s="45"/>
      <c r="BP189" s="45"/>
    </row>
    <row r="190" spans="1:68" ht="15.75" customHeight="1" x14ac:dyDescent="0.15">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c r="BH190" s="45"/>
      <c r="BI190" s="45"/>
      <c r="BJ190" s="45"/>
      <c r="BK190" s="45"/>
      <c r="BL190" s="45"/>
      <c r="BM190" s="45"/>
      <c r="BN190" s="45"/>
      <c r="BO190" s="45"/>
      <c r="BP190" s="45"/>
    </row>
    <row r="191" spans="1:68" ht="15.75" customHeight="1" x14ac:dyDescent="0.15">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c r="BH191" s="45"/>
      <c r="BI191" s="45"/>
      <c r="BJ191" s="45"/>
      <c r="BK191" s="45"/>
      <c r="BL191" s="45"/>
      <c r="BM191" s="45"/>
      <c r="BN191" s="45"/>
      <c r="BO191" s="45"/>
      <c r="BP191" s="45"/>
    </row>
    <row r="192" spans="1:68" ht="15.75" customHeight="1" x14ac:dyDescent="0.15">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s="45"/>
      <c r="BJ192" s="45"/>
      <c r="BK192" s="45"/>
      <c r="BL192" s="45"/>
      <c r="BM192" s="45"/>
      <c r="BN192" s="45"/>
      <c r="BO192" s="45"/>
      <c r="BP192" s="45"/>
    </row>
    <row r="193" spans="1:68" ht="15.75" customHeight="1" x14ac:dyDescent="0.15">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c r="BI193" s="45"/>
      <c r="BJ193" s="45"/>
      <c r="BK193" s="45"/>
      <c r="BL193" s="45"/>
      <c r="BM193" s="45"/>
      <c r="BN193" s="45"/>
      <c r="BO193" s="45"/>
      <c r="BP193" s="45"/>
    </row>
    <row r="194" spans="1:68" ht="15.75" customHeight="1" x14ac:dyDescent="0.15">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c r="BI194" s="45"/>
      <c r="BJ194" s="45"/>
      <c r="BK194" s="45"/>
      <c r="BL194" s="45"/>
      <c r="BM194" s="45"/>
      <c r="BN194" s="45"/>
      <c r="BO194" s="45"/>
      <c r="BP194" s="45"/>
    </row>
    <row r="195" spans="1:68" ht="15.75" customHeight="1" x14ac:dyDescent="0.1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c r="BH195" s="45"/>
      <c r="BI195" s="45"/>
      <c r="BJ195" s="45"/>
      <c r="BK195" s="45"/>
      <c r="BL195" s="45"/>
      <c r="BM195" s="45"/>
      <c r="BN195" s="45"/>
      <c r="BO195" s="45"/>
      <c r="BP195" s="45"/>
    </row>
    <row r="196" spans="1:68" ht="15.75" customHeight="1" x14ac:dyDescent="0.15">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c r="BI196" s="45"/>
      <c r="BJ196" s="45"/>
      <c r="BK196" s="45"/>
      <c r="BL196" s="45"/>
      <c r="BM196" s="45"/>
      <c r="BN196" s="45"/>
      <c r="BO196" s="45"/>
      <c r="BP196" s="45"/>
    </row>
    <row r="197" spans="1:68" ht="15.75" customHeight="1" x14ac:dyDescent="0.15">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c r="BH197" s="45"/>
      <c r="BI197" s="45"/>
      <c r="BJ197" s="45"/>
      <c r="BK197" s="45"/>
      <c r="BL197" s="45"/>
      <c r="BM197" s="45"/>
      <c r="BN197" s="45"/>
      <c r="BO197" s="45"/>
      <c r="BP197" s="45"/>
    </row>
    <row r="198" spans="1:68" ht="15.75" customHeight="1" x14ac:dyDescent="0.15">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c r="BH198" s="45"/>
      <c r="BI198" s="45"/>
      <c r="BJ198" s="45"/>
      <c r="BK198" s="45"/>
      <c r="BL198" s="45"/>
      <c r="BM198" s="45"/>
      <c r="BN198" s="45"/>
      <c r="BO198" s="45"/>
      <c r="BP198" s="45"/>
    </row>
    <row r="199" spans="1:68" ht="15.75" customHeight="1" x14ac:dyDescent="0.15">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c r="BI199" s="45"/>
      <c r="BJ199" s="45"/>
      <c r="BK199" s="45"/>
      <c r="BL199" s="45"/>
      <c r="BM199" s="45"/>
      <c r="BN199" s="45"/>
      <c r="BO199" s="45"/>
      <c r="BP199" s="45"/>
    </row>
    <row r="200" spans="1:68" ht="15.75" customHeight="1" x14ac:dyDescent="0.15">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c r="BI200" s="45"/>
      <c r="BJ200" s="45"/>
      <c r="BK200" s="45"/>
      <c r="BL200" s="45"/>
      <c r="BM200" s="45"/>
      <c r="BN200" s="45"/>
      <c r="BO200" s="45"/>
      <c r="BP200" s="45"/>
    </row>
    <row r="201" spans="1:68" ht="15.75" customHeight="1" x14ac:dyDescent="0.15">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c r="BI201" s="45"/>
      <c r="BJ201" s="45"/>
      <c r="BK201" s="45"/>
      <c r="BL201" s="45"/>
      <c r="BM201" s="45"/>
      <c r="BN201" s="45"/>
      <c r="BO201" s="45"/>
      <c r="BP201" s="45"/>
    </row>
    <row r="202" spans="1:68" ht="15.75" customHeight="1" x14ac:dyDescent="0.15">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c r="BH202" s="45"/>
      <c r="BI202" s="45"/>
      <c r="BJ202" s="45"/>
      <c r="BK202" s="45"/>
      <c r="BL202" s="45"/>
      <c r="BM202" s="45"/>
      <c r="BN202" s="45"/>
      <c r="BO202" s="45"/>
      <c r="BP202" s="45"/>
    </row>
    <row r="203" spans="1:68" ht="15.75" customHeight="1" x14ac:dyDescent="0.15">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c r="BI203" s="45"/>
      <c r="BJ203" s="45"/>
      <c r="BK203" s="45"/>
      <c r="BL203" s="45"/>
      <c r="BM203" s="45"/>
      <c r="BN203" s="45"/>
      <c r="BO203" s="45"/>
      <c r="BP203" s="45"/>
    </row>
    <row r="204" spans="1:68" ht="15.75" customHeight="1" x14ac:dyDescent="0.15">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c r="BH204" s="45"/>
      <c r="BI204" s="45"/>
      <c r="BJ204" s="45"/>
      <c r="BK204" s="45"/>
      <c r="BL204" s="45"/>
      <c r="BM204" s="45"/>
      <c r="BN204" s="45"/>
      <c r="BO204" s="45"/>
      <c r="BP204" s="45"/>
    </row>
    <row r="205" spans="1:68" ht="15.75" customHeight="1" x14ac:dyDescent="0.1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c r="BI205" s="45"/>
      <c r="BJ205" s="45"/>
      <c r="BK205" s="45"/>
      <c r="BL205" s="45"/>
      <c r="BM205" s="45"/>
      <c r="BN205" s="45"/>
      <c r="BO205" s="45"/>
      <c r="BP205" s="45"/>
    </row>
    <row r="206" spans="1:68" ht="15.75" customHeight="1" x14ac:dyDescent="0.15">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c r="BH206" s="45"/>
      <c r="BI206" s="45"/>
      <c r="BJ206" s="45"/>
      <c r="BK206" s="45"/>
      <c r="BL206" s="45"/>
      <c r="BM206" s="45"/>
      <c r="BN206" s="45"/>
      <c r="BO206" s="45"/>
      <c r="BP206" s="45"/>
    </row>
    <row r="207" spans="1:68" ht="15.75" customHeight="1" x14ac:dyDescent="0.15">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c r="BH207" s="45"/>
      <c r="BI207" s="45"/>
      <c r="BJ207" s="45"/>
      <c r="BK207" s="45"/>
      <c r="BL207" s="45"/>
      <c r="BM207" s="45"/>
      <c r="BN207" s="45"/>
      <c r="BO207" s="45"/>
      <c r="BP207" s="45"/>
    </row>
    <row r="208" spans="1:68" ht="15.75" customHeight="1" x14ac:dyDescent="0.15">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c r="BI208" s="45"/>
      <c r="BJ208" s="45"/>
      <c r="BK208" s="45"/>
      <c r="BL208" s="45"/>
      <c r="BM208" s="45"/>
      <c r="BN208" s="45"/>
      <c r="BO208" s="45"/>
      <c r="BP208" s="45"/>
    </row>
    <row r="209" spans="1:68" ht="15.75" customHeight="1" x14ac:dyDescent="0.15">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c r="BI209" s="45"/>
      <c r="BJ209" s="45"/>
      <c r="BK209" s="45"/>
      <c r="BL209" s="45"/>
      <c r="BM209" s="45"/>
      <c r="BN209" s="45"/>
      <c r="BO209" s="45"/>
      <c r="BP209" s="45"/>
    </row>
    <row r="210" spans="1:68" ht="15.75" customHeight="1" x14ac:dyDescent="0.15">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c r="BI210" s="45"/>
      <c r="BJ210" s="45"/>
      <c r="BK210" s="45"/>
      <c r="BL210" s="45"/>
      <c r="BM210" s="45"/>
      <c r="BN210" s="45"/>
      <c r="BO210" s="45"/>
      <c r="BP210" s="45"/>
    </row>
    <row r="211" spans="1:68" ht="15.75" customHeight="1" x14ac:dyDescent="0.15">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c r="BI211" s="45"/>
      <c r="BJ211" s="45"/>
      <c r="BK211" s="45"/>
      <c r="BL211" s="45"/>
      <c r="BM211" s="45"/>
      <c r="BN211" s="45"/>
      <c r="BO211" s="45"/>
      <c r="BP211" s="45"/>
    </row>
    <row r="212" spans="1:68" ht="15.75" customHeight="1" x14ac:dyDescent="0.15">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c r="BH212" s="45"/>
      <c r="BI212" s="45"/>
      <c r="BJ212" s="45"/>
      <c r="BK212" s="45"/>
      <c r="BL212" s="45"/>
      <c r="BM212" s="45"/>
      <c r="BN212" s="45"/>
      <c r="BO212" s="45"/>
      <c r="BP212" s="45"/>
    </row>
    <row r="213" spans="1:68" ht="15.75" customHeight="1" x14ac:dyDescent="0.15">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c r="BI213" s="45"/>
      <c r="BJ213" s="45"/>
      <c r="BK213" s="45"/>
      <c r="BL213" s="45"/>
      <c r="BM213" s="45"/>
      <c r="BN213" s="45"/>
      <c r="BO213" s="45"/>
      <c r="BP213" s="45"/>
    </row>
    <row r="214" spans="1:68" ht="15.75" customHeight="1" x14ac:dyDescent="0.15">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c r="BH214" s="45"/>
      <c r="BI214" s="45"/>
      <c r="BJ214" s="45"/>
      <c r="BK214" s="45"/>
      <c r="BL214" s="45"/>
      <c r="BM214" s="45"/>
      <c r="BN214" s="45"/>
      <c r="BO214" s="45"/>
      <c r="BP214" s="45"/>
    </row>
    <row r="215" spans="1:68" ht="15.75" customHeight="1" x14ac:dyDescent="0.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c r="BH215" s="45"/>
      <c r="BI215" s="45"/>
      <c r="BJ215" s="45"/>
      <c r="BK215" s="45"/>
      <c r="BL215" s="45"/>
      <c r="BM215" s="45"/>
      <c r="BN215" s="45"/>
      <c r="BO215" s="45"/>
      <c r="BP215" s="45"/>
    </row>
    <row r="216" spans="1:68" ht="15.75" customHeight="1" x14ac:dyDescent="0.15">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5"/>
      <c r="BE216" s="45"/>
      <c r="BF216" s="45"/>
      <c r="BG216" s="45"/>
      <c r="BH216" s="45"/>
      <c r="BI216" s="45"/>
      <c r="BJ216" s="45"/>
      <c r="BK216" s="45"/>
      <c r="BL216" s="45"/>
      <c r="BM216" s="45"/>
      <c r="BN216" s="45"/>
      <c r="BO216" s="45"/>
      <c r="BP216" s="45"/>
    </row>
    <row r="217" spans="1:68" ht="15.75" customHeight="1" x14ac:dyDescent="0.15">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c r="AY217" s="45"/>
      <c r="AZ217" s="45"/>
      <c r="BA217" s="45"/>
      <c r="BB217" s="45"/>
      <c r="BC217" s="45"/>
      <c r="BD217" s="45"/>
      <c r="BE217" s="45"/>
      <c r="BF217" s="45"/>
      <c r="BG217" s="45"/>
      <c r="BH217" s="45"/>
      <c r="BI217" s="45"/>
      <c r="BJ217" s="45"/>
      <c r="BK217" s="45"/>
      <c r="BL217" s="45"/>
      <c r="BM217" s="45"/>
      <c r="BN217" s="45"/>
      <c r="BO217" s="45"/>
      <c r="BP217" s="45"/>
    </row>
    <row r="218" spans="1:68" ht="15.75" customHeight="1" x14ac:dyDescent="0.15">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5"/>
      <c r="BE218" s="45"/>
      <c r="BF218" s="45"/>
      <c r="BG218" s="45"/>
      <c r="BH218" s="45"/>
      <c r="BI218" s="45"/>
      <c r="BJ218" s="45"/>
      <c r="BK218" s="45"/>
      <c r="BL218" s="45"/>
      <c r="BM218" s="45"/>
      <c r="BN218" s="45"/>
      <c r="BO218" s="45"/>
      <c r="BP218" s="45"/>
    </row>
    <row r="219" spans="1:68" ht="15.75" customHeight="1" x14ac:dyDescent="0.15">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c r="BH219" s="45"/>
      <c r="BI219" s="45"/>
      <c r="BJ219" s="45"/>
      <c r="BK219" s="45"/>
      <c r="BL219" s="45"/>
      <c r="BM219" s="45"/>
      <c r="BN219" s="45"/>
      <c r="BO219" s="45"/>
      <c r="BP219" s="45"/>
    </row>
    <row r="220" spans="1:68" ht="15.75" customHeight="1" x14ac:dyDescent="0.15">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c r="BH220" s="45"/>
      <c r="BI220" s="45"/>
      <c r="BJ220" s="45"/>
      <c r="BK220" s="45"/>
      <c r="BL220" s="45"/>
      <c r="BM220" s="45"/>
      <c r="BN220" s="45"/>
      <c r="BO220" s="45"/>
      <c r="BP220" s="45"/>
    </row>
    <row r="221" spans="1:68" ht="15.75" customHeight="1" x14ac:dyDescent="0.15">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c r="BH221" s="45"/>
      <c r="BI221" s="45"/>
      <c r="BJ221" s="45"/>
      <c r="BK221" s="45"/>
      <c r="BL221" s="45"/>
      <c r="BM221" s="45"/>
      <c r="BN221" s="45"/>
      <c r="BO221" s="45"/>
      <c r="BP221" s="45"/>
    </row>
    <row r="222" spans="1:68" ht="15.75" customHeight="1" x14ac:dyDescent="0.15">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c r="BH222" s="45"/>
      <c r="BI222" s="45"/>
      <c r="BJ222" s="45"/>
      <c r="BK222" s="45"/>
      <c r="BL222" s="45"/>
      <c r="BM222" s="45"/>
      <c r="BN222" s="45"/>
      <c r="BO222" s="45"/>
      <c r="BP222" s="45"/>
    </row>
    <row r="223" spans="1:68" ht="15.75" customHeight="1" x14ac:dyDescent="0.15">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c r="BH223" s="45"/>
      <c r="BI223" s="45"/>
      <c r="BJ223" s="45"/>
      <c r="BK223" s="45"/>
      <c r="BL223" s="45"/>
      <c r="BM223" s="45"/>
      <c r="BN223" s="45"/>
      <c r="BO223" s="45"/>
      <c r="BP223" s="45"/>
    </row>
    <row r="224" spans="1:68" ht="15.75" customHeight="1" x14ac:dyDescent="0.15">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s="45"/>
      <c r="BJ224" s="45"/>
      <c r="BK224" s="45"/>
      <c r="BL224" s="45"/>
      <c r="BM224" s="45"/>
      <c r="BN224" s="45"/>
      <c r="BO224" s="45"/>
      <c r="BP224" s="45"/>
    </row>
    <row r="225" spans="1:68" ht="15.75" customHeight="1" x14ac:dyDescent="0.1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c r="BI225" s="45"/>
      <c r="BJ225" s="45"/>
      <c r="BK225" s="45"/>
      <c r="BL225" s="45"/>
      <c r="BM225" s="45"/>
      <c r="BN225" s="45"/>
      <c r="BO225" s="45"/>
      <c r="BP225" s="45"/>
    </row>
    <row r="226" spans="1:68" ht="15.75" customHeight="1" x14ac:dyDescent="0.15">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c r="BH226" s="45"/>
      <c r="BI226" s="45"/>
      <c r="BJ226" s="45"/>
      <c r="BK226" s="45"/>
      <c r="BL226" s="45"/>
      <c r="BM226" s="45"/>
      <c r="BN226" s="45"/>
      <c r="BO226" s="45"/>
      <c r="BP226" s="45"/>
    </row>
    <row r="227" spans="1:68" ht="15.75" customHeight="1" x14ac:dyDescent="0.15">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c r="BH227" s="45"/>
      <c r="BI227" s="45"/>
      <c r="BJ227" s="45"/>
      <c r="BK227" s="45"/>
      <c r="BL227" s="45"/>
      <c r="BM227" s="45"/>
      <c r="BN227" s="45"/>
      <c r="BO227" s="45"/>
      <c r="BP227" s="45"/>
    </row>
    <row r="228" spans="1:68" ht="15.75" customHeight="1" x14ac:dyDescent="0.15">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s="45"/>
      <c r="BJ228" s="45"/>
      <c r="BK228" s="45"/>
      <c r="BL228" s="45"/>
      <c r="BM228" s="45"/>
      <c r="BN228" s="45"/>
      <c r="BO228" s="45"/>
      <c r="BP228" s="45"/>
    </row>
    <row r="229" spans="1:68" ht="15.75" customHeight="1" x14ac:dyDescent="0.15">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5"/>
      <c r="BE229" s="45"/>
      <c r="BF229" s="45"/>
      <c r="BG229" s="45"/>
      <c r="BH229" s="45"/>
      <c r="BI229" s="45"/>
      <c r="BJ229" s="45"/>
      <c r="BK229" s="45"/>
      <c r="BL229" s="45"/>
      <c r="BM229" s="45"/>
      <c r="BN229" s="45"/>
      <c r="BO229" s="45"/>
      <c r="BP229" s="45"/>
    </row>
    <row r="230" spans="1:68" ht="15.75" customHeight="1" x14ac:dyDescent="0.15">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5"/>
      <c r="BE230" s="45"/>
      <c r="BF230" s="45"/>
      <c r="BG230" s="45"/>
      <c r="BH230" s="45"/>
      <c r="BI230" s="45"/>
      <c r="BJ230" s="45"/>
      <c r="BK230" s="45"/>
      <c r="BL230" s="45"/>
      <c r="BM230" s="45"/>
      <c r="BN230" s="45"/>
      <c r="BO230" s="45"/>
      <c r="BP230" s="45"/>
    </row>
    <row r="231" spans="1:68" ht="15.75" customHeight="1" x14ac:dyDescent="0.15">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c r="AY231" s="45"/>
      <c r="AZ231" s="45"/>
      <c r="BA231" s="45"/>
      <c r="BB231" s="45"/>
      <c r="BC231" s="45"/>
      <c r="BD231" s="45"/>
      <c r="BE231" s="45"/>
      <c r="BF231" s="45"/>
      <c r="BG231" s="45"/>
      <c r="BH231" s="45"/>
      <c r="BI231" s="45"/>
      <c r="BJ231" s="45"/>
      <c r="BK231" s="45"/>
      <c r="BL231" s="45"/>
      <c r="BM231" s="45"/>
      <c r="BN231" s="45"/>
      <c r="BO231" s="45"/>
      <c r="BP231" s="45"/>
    </row>
    <row r="232" spans="1:68" ht="15.75" customHeight="1" x14ac:dyDescent="0.15">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c r="AZ232" s="45"/>
      <c r="BA232" s="45"/>
      <c r="BB232" s="45"/>
      <c r="BC232" s="45"/>
      <c r="BD232" s="45"/>
      <c r="BE232" s="45"/>
      <c r="BF232" s="45"/>
      <c r="BG232" s="45"/>
      <c r="BH232" s="45"/>
      <c r="BI232" s="45"/>
      <c r="BJ232" s="45"/>
      <c r="BK232" s="45"/>
      <c r="BL232" s="45"/>
      <c r="BM232" s="45"/>
      <c r="BN232" s="45"/>
      <c r="BO232" s="45"/>
      <c r="BP232" s="45"/>
    </row>
    <row r="233" spans="1:68" ht="15.75" customHeight="1" x14ac:dyDescent="0.15">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c r="BH233" s="45"/>
      <c r="BI233" s="45"/>
      <c r="BJ233" s="45"/>
      <c r="BK233" s="45"/>
      <c r="BL233" s="45"/>
      <c r="BM233" s="45"/>
      <c r="BN233" s="45"/>
      <c r="BO233" s="45"/>
      <c r="BP233" s="45"/>
    </row>
    <row r="234" spans="1:68" ht="15.75" customHeight="1" x14ac:dyDescent="0.15">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c r="BH234" s="45"/>
      <c r="BI234" s="45"/>
      <c r="BJ234" s="45"/>
      <c r="BK234" s="45"/>
      <c r="BL234" s="45"/>
      <c r="BM234" s="45"/>
      <c r="BN234" s="45"/>
      <c r="BO234" s="45"/>
      <c r="BP234" s="45"/>
    </row>
    <row r="235" spans="1:68" ht="15.75" customHeight="1" x14ac:dyDescent="0.1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c r="BH235" s="45"/>
      <c r="BI235" s="45"/>
      <c r="BJ235" s="45"/>
      <c r="BK235" s="45"/>
      <c r="BL235" s="45"/>
      <c r="BM235" s="45"/>
      <c r="BN235" s="45"/>
      <c r="BO235" s="45"/>
      <c r="BP235" s="45"/>
    </row>
    <row r="236" spans="1:68" ht="15.75" customHeight="1" x14ac:dyDescent="0.15">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c r="BH236" s="45"/>
      <c r="BI236" s="45"/>
      <c r="BJ236" s="45"/>
      <c r="BK236" s="45"/>
      <c r="BL236" s="45"/>
      <c r="BM236" s="45"/>
      <c r="BN236" s="45"/>
      <c r="BO236" s="45"/>
      <c r="BP236" s="45"/>
    </row>
    <row r="237" spans="1:68" ht="15.75" customHeight="1" x14ac:dyDescent="0.15">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c r="AY237" s="45"/>
      <c r="AZ237" s="45"/>
      <c r="BA237" s="45"/>
      <c r="BB237" s="45"/>
      <c r="BC237" s="45"/>
      <c r="BD237" s="45"/>
      <c r="BE237" s="45"/>
      <c r="BF237" s="45"/>
      <c r="BG237" s="45"/>
      <c r="BH237" s="45"/>
      <c r="BI237" s="45"/>
      <c r="BJ237" s="45"/>
      <c r="BK237" s="45"/>
      <c r="BL237" s="45"/>
      <c r="BM237" s="45"/>
      <c r="BN237" s="45"/>
      <c r="BO237" s="45"/>
      <c r="BP237" s="45"/>
    </row>
    <row r="238" spans="1:68" ht="15.75" customHeight="1" x14ac:dyDescent="0.15">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c r="AY238" s="45"/>
      <c r="AZ238" s="45"/>
      <c r="BA238" s="45"/>
      <c r="BB238" s="45"/>
      <c r="BC238" s="45"/>
      <c r="BD238" s="45"/>
      <c r="BE238" s="45"/>
      <c r="BF238" s="45"/>
      <c r="BG238" s="45"/>
      <c r="BH238" s="45"/>
      <c r="BI238" s="45"/>
      <c r="BJ238" s="45"/>
      <c r="BK238" s="45"/>
      <c r="BL238" s="45"/>
      <c r="BM238" s="45"/>
      <c r="BN238" s="45"/>
      <c r="BO238" s="45"/>
      <c r="BP238" s="45"/>
    </row>
    <row r="239" spans="1:68" ht="15.75" customHeight="1" x14ac:dyDescent="0.15">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5"/>
      <c r="BE239" s="45"/>
      <c r="BF239" s="45"/>
      <c r="BG239" s="45"/>
      <c r="BH239" s="45"/>
      <c r="BI239" s="45"/>
      <c r="BJ239" s="45"/>
      <c r="BK239" s="45"/>
      <c r="BL239" s="45"/>
      <c r="BM239" s="45"/>
      <c r="BN239" s="45"/>
      <c r="BO239" s="45"/>
      <c r="BP239" s="45"/>
    </row>
    <row r="240" spans="1:68" ht="15.75" customHeight="1" x14ac:dyDescent="0.15">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c r="AY240" s="45"/>
      <c r="AZ240" s="45"/>
      <c r="BA240" s="45"/>
      <c r="BB240" s="45"/>
      <c r="BC240" s="45"/>
      <c r="BD240" s="45"/>
      <c r="BE240" s="45"/>
      <c r="BF240" s="45"/>
      <c r="BG240" s="45"/>
      <c r="BH240" s="45"/>
      <c r="BI240" s="45"/>
      <c r="BJ240" s="45"/>
      <c r="BK240" s="45"/>
      <c r="BL240" s="45"/>
      <c r="BM240" s="45"/>
      <c r="BN240" s="45"/>
      <c r="BO240" s="45"/>
      <c r="BP240" s="45"/>
    </row>
    <row r="241" spans="1:68" ht="15.75" customHeight="1" x14ac:dyDescent="0.15">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c r="BH241" s="45"/>
      <c r="BI241" s="45"/>
      <c r="BJ241" s="45"/>
      <c r="BK241" s="45"/>
      <c r="BL241" s="45"/>
      <c r="BM241" s="45"/>
      <c r="BN241" s="45"/>
      <c r="BO241" s="45"/>
      <c r="BP241" s="45"/>
    </row>
    <row r="242" spans="1:68" ht="15.75" customHeight="1" x14ac:dyDescent="0.15">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c r="AY242" s="45"/>
      <c r="AZ242" s="45"/>
      <c r="BA242" s="45"/>
      <c r="BB242" s="45"/>
      <c r="BC242" s="45"/>
      <c r="BD242" s="45"/>
      <c r="BE242" s="45"/>
      <c r="BF242" s="45"/>
      <c r="BG242" s="45"/>
      <c r="BH242" s="45"/>
      <c r="BI242" s="45"/>
      <c r="BJ242" s="45"/>
      <c r="BK242" s="45"/>
      <c r="BL242" s="45"/>
      <c r="BM242" s="45"/>
      <c r="BN242" s="45"/>
      <c r="BO242" s="45"/>
      <c r="BP242" s="45"/>
    </row>
    <row r="243" spans="1:68" ht="15.75" customHeight="1" x14ac:dyDescent="0.15">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c r="AY243" s="45"/>
      <c r="AZ243" s="45"/>
      <c r="BA243" s="45"/>
      <c r="BB243" s="45"/>
      <c r="BC243" s="45"/>
      <c r="BD243" s="45"/>
      <c r="BE243" s="45"/>
      <c r="BF243" s="45"/>
      <c r="BG243" s="45"/>
      <c r="BH243" s="45"/>
      <c r="BI243" s="45"/>
      <c r="BJ243" s="45"/>
      <c r="BK243" s="45"/>
      <c r="BL243" s="45"/>
      <c r="BM243" s="45"/>
      <c r="BN243" s="45"/>
      <c r="BO243" s="45"/>
      <c r="BP243" s="45"/>
    </row>
    <row r="244" spans="1:68" ht="15.75" customHeight="1" x14ac:dyDescent="0.15">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c r="AY244" s="45"/>
      <c r="AZ244" s="45"/>
      <c r="BA244" s="45"/>
      <c r="BB244" s="45"/>
      <c r="BC244" s="45"/>
      <c r="BD244" s="45"/>
      <c r="BE244" s="45"/>
      <c r="BF244" s="45"/>
      <c r="BG244" s="45"/>
      <c r="BH244" s="45"/>
      <c r="BI244" s="45"/>
      <c r="BJ244" s="45"/>
      <c r="BK244" s="45"/>
      <c r="BL244" s="45"/>
      <c r="BM244" s="45"/>
      <c r="BN244" s="45"/>
      <c r="BO244" s="45"/>
      <c r="BP244" s="45"/>
    </row>
    <row r="245" spans="1:68" ht="15.75" customHeight="1" x14ac:dyDescent="0.1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5"/>
      <c r="BE245" s="45"/>
      <c r="BF245" s="45"/>
      <c r="BG245" s="45"/>
      <c r="BH245" s="45"/>
      <c r="BI245" s="45"/>
      <c r="BJ245" s="45"/>
      <c r="BK245" s="45"/>
      <c r="BL245" s="45"/>
      <c r="BM245" s="45"/>
      <c r="BN245" s="45"/>
      <c r="BO245" s="45"/>
      <c r="BP245" s="45"/>
    </row>
    <row r="246" spans="1:68" ht="15.75" customHeight="1" x14ac:dyDescent="0.15">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c r="AY246" s="45"/>
      <c r="AZ246" s="45"/>
      <c r="BA246" s="45"/>
      <c r="BB246" s="45"/>
      <c r="BC246" s="45"/>
      <c r="BD246" s="45"/>
      <c r="BE246" s="45"/>
      <c r="BF246" s="45"/>
      <c r="BG246" s="45"/>
      <c r="BH246" s="45"/>
      <c r="BI246" s="45"/>
      <c r="BJ246" s="45"/>
      <c r="BK246" s="45"/>
      <c r="BL246" s="45"/>
      <c r="BM246" s="45"/>
      <c r="BN246" s="45"/>
      <c r="BO246" s="45"/>
      <c r="BP246" s="45"/>
    </row>
    <row r="247" spans="1:68" ht="15.75" customHeight="1" x14ac:dyDescent="0.15">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c r="AY247" s="45"/>
      <c r="AZ247" s="45"/>
      <c r="BA247" s="45"/>
      <c r="BB247" s="45"/>
      <c r="BC247" s="45"/>
      <c r="BD247" s="45"/>
      <c r="BE247" s="45"/>
      <c r="BF247" s="45"/>
      <c r="BG247" s="45"/>
      <c r="BH247" s="45"/>
      <c r="BI247" s="45"/>
      <c r="BJ247" s="45"/>
      <c r="BK247" s="45"/>
      <c r="BL247" s="45"/>
      <c r="BM247" s="45"/>
      <c r="BN247" s="45"/>
      <c r="BO247" s="45"/>
      <c r="BP247" s="45"/>
    </row>
    <row r="248" spans="1:68" ht="15.75" customHeight="1" x14ac:dyDescent="0.15">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c r="AX248" s="45"/>
      <c r="AY248" s="45"/>
      <c r="AZ248" s="45"/>
      <c r="BA248" s="45"/>
      <c r="BB248" s="45"/>
      <c r="BC248" s="45"/>
      <c r="BD248" s="45"/>
      <c r="BE248" s="45"/>
      <c r="BF248" s="45"/>
      <c r="BG248" s="45"/>
      <c r="BH248" s="45"/>
      <c r="BI248" s="45"/>
      <c r="BJ248" s="45"/>
      <c r="BK248" s="45"/>
      <c r="BL248" s="45"/>
      <c r="BM248" s="45"/>
      <c r="BN248" s="45"/>
      <c r="BO248" s="45"/>
      <c r="BP248" s="45"/>
    </row>
    <row r="249" spans="1:68" ht="15.75" customHeight="1" x14ac:dyDescent="0.15">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c r="AX249" s="45"/>
      <c r="AY249" s="45"/>
      <c r="AZ249" s="45"/>
      <c r="BA249" s="45"/>
      <c r="BB249" s="45"/>
      <c r="BC249" s="45"/>
      <c r="BD249" s="45"/>
      <c r="BE249" s="45"/>
      <c r="BF249" s="45"/>
      <c r="BG249" s="45"/>
      <c r="BH249" s="45"/>
      <c r="BI249" s="45"/>
      <c r="BJ249" s="45"/>
      <c r="BK249" s="45"/>
      <c r="BL249" s="45"/>
      <c r="BM249" s="45"/>
      <c r="BN249" s="45"/>
      <c r="BO249" s="45"/>
      <c r="BP249" s="45"/>
    </row>
    <row r="250" spans="1:68" ht="15.75" customHeight="1" x14ac:dyDescent="0.15">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c r="AX250" s="45"/>
      <c r="AY250" s="45"/>
      <c r="AZ250" s="45"/>
      <c r="BA250" s="45"/>
      <c r="BB250" s="45"/>
      <c r="BC250" s="45"/>
      <c r="BD250" s="45"/>
      <c r="BE250" s="45"/>
      <c r="BF250" s="45"/>
      <c r="BG250" s="45"/>
      <c r="BH250" s="45"/>
      <c r="BI250" s="45"/>
      <c r="BJ250" s="45"/>
      <c r="BK250" s="45"/>
      <c r="BL250" s="45"/>
      <c r="BM250" s="45"/>
      <c r="BN250" s="45"/>
      <c r="BO250" s="45"/>
      <c r="BP250" s="45"/>
    </row>
    <row r="251" spans="1:68" ht="15.75" customHeight="1" x14ac:dyDescent="0.15">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c r="AX251" s="45"/>
      <c r="AY251" s="45"/>
      <c r="AZ251" s="45"/>
      <c r="BA251" s="45"/>
      <c r="BB251" s="45"/>
      <c r="BC251" s="45"/>
      <c r="BD251" s="45"/>
      <c r="BE251" s="45"/>
      <c r="BF251" s="45"/>
      <c r="BG251" s="45"/>
      <c r="BH251" s="45"/>
      <c r="BI251" s="45"/>
      <c r="BJ251" s="45"/>
      <c r="BK251" s="45"/>
      <c r="BL251" s="45"/>
      <c r="BM251" s="45"/>
      <c r="BN251" s="45"/>
      <c r="BO251" s="45"/>
      <c r="BP251" s="45"/>
    </row>
    <row r="252" spans="1:68" ht="15.75" customHeight="1" x14ac:dyDescent="0.15">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c r="AT252" s="45"/>
      <c r="AU252" s="45"/>
      <c r="AV252" s="45"/>
      <c r="AW252" s="45"/>
      <c r="AX252" s="45"/>
      <c r="AY252" s="45"/>
      <c r="AZ252" s="45"/>
      <c r="BA252" s="45"/>
      <c r="BB252" s="45"/>
      <c r="BC252" s="45"/>
      <c r="BD252" s="45"/>
      <c r="BE252" s="45"/>
      <c r="BF252" s="45"/>
      <c r="BG252" s="45"/>
      <c r="BH252" s="45"/>
      <c r="BI252" s="45"/>
      <c r="BJ252" s="45"/>
      <c r="BK252" s="45"/>
      <c r="BL252" s="45"/>
      <c r="BM252" s="45"/>
      <c r="BN252" s="45"/>
      <c r="BO252" s="45"/>
      <c r="BP252" s="45"/>
    </row>
    <row r="253" spans="1:68" ht="15.75" customHeight="1" x14ac:dyDescent="0.15">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c r="AT253" s="45"/>
      <c r="AU253" s="45"/>
      <c r="AV253" s="45"/>
      <c r="AW253" s="45"/>
      <c r="AX253" s="45"/>
      <c r="AY253" s="45"/>
      <c r="AZ253" s="45"/>
      <c r="BA253" s="45"/>
      <c r="BB253" s="45"/>
      <c r="BC253" s="45"/>
      <c r="BD253" s="45"/>
      <c r="BE253" s="45"/>
      <c r="BF253" s="45"/>
      <c r="BG253" s="45"/>
      <c r="BH253" s="45"/>
      <c r="BI253" s="45"/>
      <c r="BJ253" s="45"/>
      <c r="BK253" s="45"/>
      <c r="BL253" s="45"/>
      <c r="BM253" s="45"/>
      <c r="BN253" s="45"/>
      <c r="BO253" s="45"/>
      <c r="BP253" s="45"/>
    </row>
    <row r="254" spans="1:68" ht="15.75" customHeight="1" x14ac:dyDescent="0.15">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c r="AX254" s="45"/>
      <c r="AY254" s="45"/>
      <c r="AZ254" s="45"/>
      <c r="BA254" s="45"/>
      <c r="BB254" s="45"/>
      <c r="BC254" s="45"/>
      <c r="BD254" s="45"/>
      <c r="BE254" s="45"/>
      <c r="BF254" s="45"/>
      <c r="BG254" s="45"/>
      <c r="BH254" s="45"/>
      <c r="BI254" s="45"/>
      <c r="BJ254" s="45"/>
      <c r="BK254" s="45"/>
      <c r="BL254" s="45"/>
      <c r="BM254" s="45"/>
      <c r="BN254" s="45"/>
      <c r="BO254" s="45"/>
      <c r="BP254" s="45"/>
    </row>
    <row r="255" spans="1:68" ht="15.75" customHeight="1" x14ac:dyDescent="0.1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c r="AX255" s="45"/>
      <c r="AY255" s="45"/>
      <c r="AZ255" s="45"/>
      <c r="BA255" s="45"/>
      <c r="BB255" s="45"/>
      <c r="BC255" s="45"/>
      <c r="BD255" s="45"/>
      <c r="BE255" s="45"/>
      <c r="BF255" s="45"/>
      <c r="BG255" s="45"/>
      <c r="BH255" s="45"/>
      <c r="BI255" s="45"/>
      <c r="BJ255" s="45"/>
      <c r="BK255" s="45"/>
      <c r="BL255" s="45"/>
      <c r="BM255" s="45"/>
      <c r="BN255" s="45"/>
      <c r="BO255" s="45"/>
      <c r="BP255" s="45"/>
    </row>
    <row r="256" spans="1:68" ht="15.75" customHeight="1" x14ac:dyDescent="0.15">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c r="AV256" s="45"/>
      <c r="AW256" s="45"/>
      <c r="AX256" s="45"/>
      <c r="AY256" s="45"/>
      <c r="AZ256" s="45"/>
      <c r="BA256" s="45"/>
      <c r="BB256" s="45"/>
      <c r="BC256" s="45"/>
      <c r="BD256" s="45"/>
      <c r="BE256" s="45"/>
      <c r="BF256" s="45"/>
      <c r="BG256" s="45"/>
      <c r="BH256" s="45"/>
      <c r="BI256" s="45"/>
      <c r="BJ256" s="45"/>
      <c r="BK256" s="45"/>
      <c r="BL256" s="45"/>
      <c r="BM256" s="45"/>
      <c r="BN256" s="45"/>
      <c r="BO256" s="45"/>
      <c r="BP256" s="45"/>
    </row>
    <row r="257" spans="1:68" ht="15.75" customHeight="1" x14ac:dyDescent="0.15">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c r="AV257" s="45"/>
      <c r="AW257" s="45"/>
      <c r="AX257" s="45"/>
      <c r="AY257" s="45"/>
      <c r="AZ257" s="45"/>
      <c r="BA257" s="45"/>
      <c r="BB257" s="45"/>
      <c r="BC257" s="45"/>
      <c r="BD257" s="45"/>
      <c r="BE257" s="45"/>
      <c r="BF257" s="45"/>
      <c r="BG257" s="45"/>
      <c r="BH257" s="45"/>
      <c r="BI257" s="45"/>
      <c r="BJ257" s="45"/>
      <c r="BK257" s="45"/>
      <c r="BL257" s="45"/>
      <c r="BM257" s="45"/>
      <c r="BN257" s="45"/>
      <c r="BO257" s="45"/>
      <c r="BP257" s="45"/>
    </row>
    <row r="258" spans="1:68" ht="15.75" customHeight="1" x14ac:dyDescent="0.15">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c r="AT258" s="45"/>
      <c r="AU258" s="45"/>
      <c r="AV258" s="45"/>
      <c r="AW258" s="45"/>
      <c r="AX258" s="45"/>
      <c r="AY258" s="45"/>
      <c r="AZ258" s="45"/>
      <c r="BA258" s="45"/>
      <c r="BB258" s="45"/>
      <c r="BC258" s="45"/>
      <c r="BD258" s="45"/>
      <c r="BE258" s="45"/>
      <c r="BF258" s="45"/>
      <c r="BG258" s="45"/>
      <c r="BH258" s="45"/>
      <c r="BI258" s="45"/>
      <c r="BJ258" s="45"/>
      <c r="BK258" s="45"/>
      <c r="BL258" s="45"/>
      <c r="BM258" s="45"/>
      <c r="BN258" s="45"/>
      <c r="BO258" s="45"/>
      <c r="BP258" s="45"/>
    </row>
    <row r="259" spans="1:68" ht="15.75" customHeight="1" x14ac:dyDescent="0.15">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c r="AT259" s="45"/>
      <c r="AU259" s="45"/>
      <c r="AV259" s="45"/>
      <c r="AW259" s="45"/>
      <c r="AX259" s="45"/>
      <c r="AY259" s="45"/>
      <c r="AZ259" s="45"/>
      <c r="BA259" s="45"/>
      <c r="BB259" s="45"/>
      <c r="BC259" s="45"/>
      <c r="BD259" s="45"/>
      <c r="BE259" s="45"/>
      <c r="BF259" s="45"/>
      <c r="BG259" s="45"/>
      <c r="BH259" s="45"/>
      <c r="BI259" s="45"/>
      <c r="BJ259" s="45"/>
      <c r="BK259" s="45"/>
      <c r="BL259" s="45"/>
      <c r="BM259" s="45"/>
      <c r="BN259" s="45"/>
      <c r="BO259" s="45"/>
      <c r="BP259" s="45"/>
    </row>
    <row r="260" spans="1:68" ht="15.75" customHeight="1" x14ac:dyDescent="0.15">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c r="AT260" s="45"/>
      <c r="AU260" s="45"/>
      <c r="AV260" s="45"/>
      <c r="AW260" s="45"/>
      <c r="AX260" s="45"/>
      <c r="AY260" s="45"/>
      <c r="AZ260" s="45"/>
      <c r="BA260" s="45"/>
      <c r="BB260" s="45"/>
      <c r="BC260" s="45"/>
      <c r="BD260" s="45"/>
      <c r="BE260" s="45"/>
      <c r="BF260" s="45"/>
      <c r="BG260" s="45"/>
      <c r="BH260" s="45"/>
      <c r="BI260" s="45"/>
      <c r="BJ260" s="45"/>
      <c r="BK260" s="45"/>
      <c r="BL260" s="45"/>
      <c r="BM260" s="45"/>
      <c r="BN260" s="45"/>
      <c r="BO260" s="45"/>
      <c r="BP260" s="45"/>
    </row>
    <row r="261" spans="1:68" ht="15.75" customHeight="1" x14ac:dyDescent="0.15">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c r="AV261" s="45"/>
      <c r="AW261" s="45"/>
      <c r="AX261" s="45"/>
      <c r="AY261" s="45"/>
      <c r="AZ261" s="45"/>
      <c r="BA261" s="45"/>
      <c r="BB261" s="45"/>
      <c r="BC261" s="45"/>
      <c r="BD261" s="45"/>
      <c r="BE261" s="45"/>
      <c r="BF261" s="45"/>
      <c r="BG261" s="45"/>
      <c r="BH261" s="45"/>
      <c r="BI261" s="45"/>
      <c r="BJ261" s="45"/>
      <c r="BK261" s="45"/>
      <c r="BL261" s="45"/>
      <c r="BM261" s="45"/>
      <c r="BN261" s="45"/>
      <c r="BO261" s="45"/>
      <c r="BP261" s="45"/>
    </row>
    <row r="262" spans="1:68" ht="15.75" customHeight="1" x14ac:dyDescent="0.15">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c r="AX262" s="45"/>
      <c r="AY262" s="45"/>
      <c r="AZ262" s="45"/>
      <c r="BA262" s="45"/>
      <c r="BB262" s="45"/>
      <c r="BC262" s="45"/>
      <c r="BD262" s="45"/>
      <c r="BE262" s="45"/>
      <c r="BF262" s="45"/>
      <c r="BG262" s="45"/>
      <c r="BH262" s="45"/>
      <c r="BI262" s="45"/>
      <c r="BJ262" s="45"/>
      <c r="BK262" s="45"/>
      <c r="BL262" s="45"/>
      <c r="BM262" s="45"/>
      <c r="BN262" s="45"/>
      <c r="BO262" s="45"/>
      <c r="BP262" s="45"/>
    </row>
    <row r="263" spans="1:68" ht="15.75" customHeight="1" x14ac:dyDescent="0.15">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c r="AS263" s="45"/>
      <c r="AT263" s="45"/>
      <c r="AU263" s="45"/>
      <c r="AV263" s="45"/>
      <c r="AW263" s="45"/>
      <c r="AX263" s="45"/>
      <c r="AY263" s="45"/>
      <c r="AZ263" s="45"/>
      <c r="BA263" s="45"/>
      <c r="BB263" s="45"/>
      <c r="BC263" s="45"/>
      <c r="BD263" s="45"/>
      <c r="BE263" s="45"/>
      <c r="BF263" s="45"/>
      <c r="BG263" s="45"/>
      <c r="BH263" s="45"/>
      <c r="BI263" s="45"/>
      <c r="BJ263" s="45"/>
      <c r="BK263" s="45"/>
      <c r="BL263" s="45"/>
      <c r="BM263" s="45"/>
      <c r="BN263" s="45"/>
      <c r="BO263" s="45"/>
      <c r="BP263" s="45"/>
    </row>
    <row r="264" spans="1:68" ht="15.75" customHeight="1" x14ac:dyDescent="0.15">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c r="AS264" s="45"/>
      <c r="AT264" s="45"/>
      <c r="AU264" s="45"/>
      <c r="AV264" s="45"/>
      <c r="AW264" s="45"/>
      <c r="AX264" s="45"/>
      <c r="AY264" s="45"/>
      <c r="AZ264" s="45"/>
      <c r="BA264" s="45"/>
      <c r="BB264" s="45"/>
      <c r="BC264" s="45"/>
      <c r="BD264" s="45"/>
      <c r="BE264" s="45"/>
      <c r="BF264" s="45"/>
      <c r="BG264" s="45"/>
      <c r="BH264" s="45"/>
      <c r="BI264" s="45"/>
      <c r="BJ264" s="45"/>
      <c r="BK264" s="45"/>
      <c r="BL264" s="45"/>
      <c r="BM264" s="45"/>
      <c r="BN264" s="45"/>
      <c r="BO264" s="45"/>
      <c r="BP264" s="45"/>
    </row>
    <row r="265" spans="1:68" ht="15.75" customHeight="1" x14ac:dyDescent="0.1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c r="AS265" s="45"/>
      <c r="AT265" s="45"/>
      <c r="AU265" s="45"/>
      <c r="AV265" s="45"/>
      <c r="AW265" s="45"/>
      <c r="AX265" s="45"/>
      <c r="AY265" s="45"/>
      <c r="AZ265" s="45"/>
      <c r="BA265" s="45"/>
      <c r="BB265" s="45"/>
      <c r="BC265" s="45"/>
      <c r="BD265" s="45"/>
      <c r="BE265" s="45"/>
      <c r="BF265" s="45"/>
      <c r="BG265" s="45"/>
      <c r="BH265" s="45"/>
      <c r="BI265" s="45"/>
      <c r="BJ265" s="45"/>
      <c r="BK265" s="45"/>
      <c r="BL265" s="45"/>
      <c r="BM265" s="45"/>
      <c r="BN265" s="45"/>
      <c r="BO265" s="45"/>
      <c r="BP265" s="45"/>
    </row>
    <row r="266" spans="1:68" ht="15.75" customHeight="1" x14ac:dyDescent="0.15">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c r="AS266" s="45"/>
      <c r="AT266" s="45"/>
      <c r="AU266" s="45"/>
      <c r="AV266" s="45"/>
      <c r="AW266" s="45"/>
      <c r="AX266" s="45"/>
      <c r="AY266" s="45"/>
      <c r="AZ266" s="45"/>
      <c r="BA266" s="45"/>
      <c r="BB266" s="45"/>
      <c r="BC266" s="45"/>
      <c r="BD266" s="45"/>
      <c r="BE266" s="45"/>
      <c r="BF266" s="45"/>
      <c r="BG266" s="45"/>
      <c r="BH266" s="45"/>
      <c r="BI266" s="45"/>
      <c r="BJ266" s="45"/>
      <c r="BK266" s="45"/>
      <c r="BL266" s="45"/>
      <c r="BM266" s="45"/>
      <c r="BN266" s="45"/>
      <c r="BO266" s="45"/>
      <c r="BP266" s="45"/>
    </row>
    <row r="267" spans="1:68" ht="15.75" customHeight="1" x14ac:dyDescent="0.15">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c r="AV267" s="45"/>
      <c r="AW267" s="45"/>
      <c r="AX267" s="45"/>
      <c r="AY267" s="45"/>
      <c r="AZ267" s="45"/>
      <c r="BA267" s="45"/>
      <c r="BB267" s="45"/>
      <c r="BC267" s="45"/>
      <c r="BD267" s="45"/>
      <c r="BE267" s="45"/>
      <c r="BF267" s="45"/>
      <c r="BG267" s="45"/>
      <c r="BH267" s="45"/>
      <c r="BI267" s="45"/>
      <c r="BJ267" s="45"/>
      <c r="BK267" s="45"/>
      <c r="BL267" s="45"/>
      <c r="BM267" s="45"/>
      <c r="BN267" s="45"/>
      <c r="BO267" s="45"/>
      <c r="BP267" s="45"/>
    </row>
    <row r="268" spans="1:68" ht="15.75" customHeight="1" x14ac:dyDescent="0.15">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c r="AV268" s="45"/>
      <c r="AW268" s="45"/>
      <c r="AX268" s="45"/>
      <c r="AY268" s="45"/>
      <c r="AZ268" s="45"/>
      <c r="BA268" s="45"/>
      <c r="BB268" s="45"/>
      <c r="BC268" s="45"/>
      <c r="BD268" s="45"/>
      <c r="BE268" s="45"/>
      <c r="BF268" s="45"/>
      <c r="BG268" s="45"/>
      <c r="BH268" s="45"/>
      <c r="BI268" s="45"/>
      <c r="BJ268" s="45"/>
      <c r="BK268" s="45"/>
      <c r="BL268" s="45"/>
      <c r="BM268" s="45"/>
      <c r="BN268" s="45"/>
      <c r="BO268" s="45"/>
      <c r="BP268" s="45"/>
    </row>
    <row r="269" spans="1:68" ht="15.75" customHeight="1" x14ac:dyDescent="0.15">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c r="AS269" s="45"/>
      <c r="AT269" s="45"/>
      <c r="AU269" s="45"/>
      <c r="AV269" s="45"/>
      <c r="AW269" s="45"/>
      <c r="AX269" s="45"/>
      <c r="AY269" s="45"/>
      <c r="AZ269" s="45"/>
      <c r="BA269" s="45"/>
      <c r="BB269" s="45"/>
      <c r="BC269" s="45"/>
      <c r="BD269" s="45"/>
      <c r="BE269" s="45"/>
      <c r="BF269" s="45"/>
      <c r="BG269" s="45"/>
      <c r="BH269" s="45"/>
      <c r="BI269" s="45"/>
      <c r="BJ269" s="45"/>
      <c r="BK269" s="45"/>
      <c r="BL269" s="45"/>
      <c r="BM269" s="45"/>
      <c r="BN269" s="45"/>
      <c r="BO269" s="45"/>
      <c r="BP269" s="45"/>
    </row>
    <row r="270" spans="1:68" ht="15.75" customHeight="1" x14ac:dyDescent="0.15">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c r="AX270" s="45"/>
      <c r="AY270" s="45"/>
      <c r="AZ270" s="45"/>
      <c r="BA270" s="45"/>
      <c r="BB270" s="45"/>
      <c r="BC270" s="45"/>
      <c r="BD270" s="45"/>
      <c r="BE270" s="45"/>
      <c r="BF270" s="45"/>
      <c r="BG270" s="45"/>
      <c r="BH270" s="45"/>
      <c r="BI270" s="45"/>
      <c r="BJ270" s="45"/>
      <c r="BK270" s="45"/>
      <c r="BL270" s="45"/>
      <c r="BM270" s="45"/>
      <c r="BN270" s="45"/>
      <c r="BO270" s="45"/>
      <c r="BP270" s="45"/>
    </row>
    <row r="271" spans="1:68" ht="15.75" customHeight="1" x14ac:dyDescent="0.15">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c r="AV271" s="45"/>
      <c r="AW271" s="45"/>
      <c r="AX271" s="45"/>
      <c r="AY271" s="45"/>
      <c r="AZ271" s="45"/>
      <c r="BA271" s="45"/>
      <c r="BB271" s="45"/>
      <c r="BC271" s="45"/>
      <c r="BD271" s="45"/>
      <c r="BE271" s="45"/>
      <c r="BF271" s="45"/>
      <c r="BG271" s="45"/>
      <c r="BH271" s="45"/>
      <c r="BI271" s="45"/>
      <c r="BJ271" s="45"/>
      <c r="BK271" s="45"/>
      <c r="BL271" s="45"/>
      <c r="BM271" s="45"/>
      <c r="BN271" s="45"/>
      <c r="BO271" s="45"/>
      <c r="BP271" s="45"/>
    </row>
    <row r="272" spans="1:68" ht="15.75" customHeight="1" x14ac:dyDescent="0.15">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c r="AS272" s="45"/>
      <c r="AT272" s="45"/>
      <c r="AU272" s="45"/>
      <c r="AV272" s="45"/>
      <c r="AW272" s="45"/>
      <c r="AX272" s="45"/>
      <c r="AY272" s="45"/>
      <c r="AZ272" s="45"/>
      <c r="BA272" s="45"/>
      <c r="BB272" s="45"/>
      <c r="BC272" s="45"/>
      <c r="BD272" s="45"/>
      <c r="BE272" s="45"/>
      <c r="BF272" s="45"/>
      <c r="BG272" s="45"/>
      <c r="BH272" s="45"/>
      <c r="BI272" s="45"/>
      <c r="BJ272" s="45"/>
      <c r="BK272" s="45"/>
      <c r="BL272" s="45"/>
      <c r="BM272" s="45"/>
      <c r="BN272" s="45"/>
      <c r="BO272" s="45"/>
      <c r="BP272" s="45"/>
    </row>
    <row r="273" spans="1:68" ht="15.75" customHeight="1" x14ac:dyDescent="0.15">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c r="AS273" s="45"/>
      <c r="AT273" s="45"/>
      <c r="AU273" s="45"/>
      <c r="AV273" s="45"/>
      <c r="AW273" s="45"/>
      <c r="AX273" s="45"/>
      <c r="AY273" s="45"/>
      <c r="AZ273" s="45"/>
      <c r="BA273" s="45"/>
      <c r="BB273" s="45"/>
      <c r="BC273" s="45"/>
      <c r="BD273" s="45"/>
      <c r="BE273" s="45"/>
      <c r="BF273" s="45"/>
      <c r="BG273" s="45"/>
      <c r="BH273" s="45"/>
      <c r="BI273" s="45"/>
      <c r="BJ273" s="45"/>
      <c r="BK273" s="45"/>
      <c r="BL273" s="45"/>
      <c r="BM273" s="45"/>
      <c r="BN273" s="45"/>
      <c r="BO273" s="45"/>
      <c r="BP273" s="45"/>
    </row>
    <row r="274" spans="1:68" ht="15.75" customHeight="1" x14ac:dyDescent="0.15">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c r="AX274" s="45"/>
      <c r="AY274" s="45"/>
      <c r="AZ274" s="45"/>
      <c r="BA274" s="45"/>
      <c r="BB274" s="45"/>
      <c r="BC274" s="45"/>
      <c r="BD274" s="45"/>
      <c r="BE274" s="45"/>
      <c r="BF274" s="45"/>
      <c r="BG274" s="45"/>
      <c r="BH274" s="45"/>
      <c r="BI274" s="45"/>
      <c r="BJ274" s="45"/>
      <c r="BK274" s="45"/>
      <c r="BL274" s="45"/>
      <c r="BM274" s="45"/>
      <c r="BN274" s="45"/>
      <c r="BO274" s="45"/>
      <c r="BP274" s="45"/>
    </row>
    <row r="275" spans="1:68" ht="15.75" customHeight="1" x14ac:dyDescent="0.1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c r="AV275" s="45"/>
      <c r="AW275" s="45"/>
      <c r="AX275" s="45"/>
      <c r="AY275" s="45"/>
      <c r="AZ275" s="45"/>
      <c r="BA275" s="45"/>
      <c r="BB275" s="45"/>
      <c r="BC275" s="45"/>
      <c r="BD275" s="45"/>
      <c r="BE275" s="45"/>
      <c r="BF275" s="45"/>
      <c r="BG275" s="45"/>
      <c r="BH275" s="45"/>
      <c r="BI275" s="45"/>
      <c r="BJ275" s="45"/>
      <c r="BK275" s="45"/>
      <c r="BL275" s="45"/>
      <c r="BM275" s="45"/>
      <c r="BN275" s="45"/>
      <c r="BO275" s="45"/>
      <c r="BP275" s="45"/>
    </row>
    <row r="276" spans="1:68" ht="15.75" customHeight="1" x14ac:dyDescent="0.15">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c r="AS276" s="45"/>
      <c r="AT276" s="45"/>
      <c r="AU276" s="45"/>
      <c r="AV276" s="45"/>
      <c r="AW276" s="45"/>
      <c r="AX276" s="45"/>
      <c r="AY276" s="45"/>
      <c r="AZ276" s="45"/>
      <c r="BA276" s="45"/>
      <c r="BB276" s="45"/>
      <c r="BC276" s="45"/>
      <c r="BD276" s="45"/>
      <c r="BE276" s="45"/>
      <c r="BF276" s="45"/>
      <c r="BG276" s="45"/>
      <c r="BH276" s="45"/>
      <c r="BI276" s="45"/>
      <c r="BJ276" s="45"/>
      <c r="BK276" s="45"/>
      <c r="BL276" s="45"/>
      <c r="BM276" s="45"/>
      <c r="BN276" s="45"/>
      <c r="BO276" s="45"/>
      <c r="BP276" s="45"/>
    </row>
    <row r="277" spans="1:68" ht="15.75" customHeight="1" x14ac:dyDescent="0.15">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c r="AS277" s="45"/>
      <c r="AT277" s="45"/>
      <c r="AU277" s="45"/>
      <c r="AV277" s="45"/>
      <c r="AW277" s="45"/>
      <c r="AX277" s="45"/>
      <c r="AY277" s="45"/>
      <c r="AZ277" s="45"/>
      <c r="BA277" s="45"/>
      <c r="BB277" s="45"/>
      <c r="BC277" s="45"/>
      <c r="BD277" s="45"/>
      <c r="BE277" s="45"/>
      <c r="BF277" s="45"/>
      <c r="BG277" s="45"/>
      <c r="BH277" s="45"/>
      <c r="BI277" s="45"/>
      <c r="BJ277" s="45"/>
      <c r="BK277" s="45"/>
      <c r="BL277" s="45"/>
      <c r="BM277" s="45"/>
      <c r="BN277" s="45"/>
      <c r="BO277" s="45"/>
      <c r="BP277" s="45"/>
    </row>
    <row r="278" spans="1:68" ht="15.75" customHeight="1" x14ac:dyDescent="0.15">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c r="AV278" s="45"/>
      <c r="AW278" s="45"/>
      <c r="AX278" s="45"/>
      <c r="AY278" s="45"/>
      <c r="AZ278" s="45"/>
      <c r="BA278" s="45"/>
      <c r="BB278" s="45"/>
      <c r="BC278" s="45"/>
      <c r="BD278" s="45"/>
      <c r="BE278" s="45"/>
      <c r="BF278" s="45"/>
      <c r="BG278" s="45"/>
      <c r="BH278" s="45"/>
      <c r="BI278" s="45"/>
      <c r="BJ278" s="45"/>
      <c r="BK278" s="45"/>
      <c r="BL278" s="45"/>
      <c r="BM278" s="45"/>
      <c r="BN278" s="45"/>
      <c r="BO278" s="45"/>
      <c r="BP278" s="45"/>
    </row>
    <row r="279" spans="1:68" ht="15.75" customHeight="1" x14ac:dyDescent="0.15">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c r="AT279" s="45"/>
      <c r="AU279" s="45"/>
      <c r="AV279" s="45"/>
      <c r="AW279" s="45"/>
      <c r="AX279" s="45"/>
      <c r="AY279" s="45"/>
      <c r="AZ279" s="45"/>
      <c r="BA279" s="45"/>
      <c r="BB279" s="45"/>
      <c r="BC279" s="45"/>
      <c r="BD279" s="45"/>
      <c r="BE279" s="45"/>
      <c r="BF279" s="45"/>
      <c r="BG279" s="45"/>
      <c r="BH279" s="45"/>
      <c r="BI279" s="45"/>
      <c r="BJ279" s="45"/>
      <c r="BK279" s="45"/>
      <c r="BL279" s="45"/>
      <c r="BM279" s="45"/>
      <c r="BN279" s="45"/>
      <c r="BO279" s="45"/>
      <c r="BP279" s="45"/>
    </row>
    <row r="280" spans="1:68" ht="15.75" customHeight="1" x14ac:dyDescent="0.15">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c r="AS280" s="45"/>
      <c r="AT280" s="45"/>
      <c r="AU280" s="45"/>
      <c r="AV280" s="45"/>
      <c r="AW280" s="45"/>
      <c r="AX280" s="45"/>
      <c r="AY280" s="45"/>
      <c r="AZ280" s="45"/>
      <c r="BA280" s="45"/>
      <c r="BB280" s="45"/>
      <c r="BC280" s="45"/>
      <c r="BD280" s="45"/>
      <c r="BE280" s="45"/>
      <c r="BF280" s="45"/>
      <c r="BG280" s="45"/>
      <c r="BH280" s="45"/>
      <c r="BI280" s="45"/>
      <c r="BJ280" s="45"/>
      <c r="BK280" s="45"/>
      <c r="BL280" s="45"/>
      <c r="BM280" s="45"/>
      <c r="BN280" s="45"/>
      <c r="BO280" s="45"/>
      <c r="BP280" s="45"/>
    </row>
    <row r="281" spans="1:68" ht="15.75" customHeight="1" x14ac:dyDescent="0.15">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c r="AT281" s="45"/>
      <c r="AU281" s="45"/>
      <c r="AV281" s="45"/>
      <c r="AW281" s="45"/>
      <c r="AX281" s="45"/>
      <c r="AY281" s="45"/>
      <c r="AZ281" s="45"/>
      <c r="BA281" s="45"/>
      <c r="BB281" s="45"/>
      <c r="BC281" s="45"/>
      <c r="BD281" s="45"/>
      <c r="BE281" s="45"/>
      <c r="BF281" s="45"/>
      <c r="BG281" s="45"/>
      <c r="BH281" s="45"/>
      <c r="BI281" s="45"/>
      <c r="BJ281" s="45"/>
      <c r="BK281" s="45"/>
      <c r="BL281" s="45"/>
      <c r="BM281" s="45"/>
      <c r="BN281" s="45"/>
      <c r="BO281" s="45"/>
      <c r="BP281" s="45"/>
    </row>
    <row r="282" spans="1:68" ht="15.75" customHeight="1" x14ac:dyDescent="0.15">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c r="AS282" s="45"/>
      <c r="AT282" s="45"/>
      <c r="AU282" s="45"/>
      <c r="AV282" s="45"/>
      <c r="AW282" s="45"/>
      <c r="AX282" s="45"/>
      <c r="AY282" s="45"/>
      <c r="AZ282" s="45"/>
      <c r="BA282" s="45"/>
      <c r="BB282" s="45"/>
      <c r="BC282" s="45"/>
      <c r="BD282" s="45"/>
      <c r="BE282" s="45"/>
      <c r="BF282" s="45"/>
      <c r="BG282" s="45"/>
      <c r="BH282" s="45"/>
      <c r="BI282" s="45"/>
      <c r="BJ282" s="45"/>
      <c r="BK282" s="45"/>
      <c r="BL282" s="45"/>
      <c r="BM282" s="45"/>
      <c r="BN282" s="45"/>
      <c r="BO282" s="45"/>
      <c r="BP282" s="45"/>
    </row>
    <row r="283" spans="1:68" ht="15.75" customHeight="1" x14ac:dyDescent="0.15">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c r="AS283" s="45"/>
      <c r="AT283" s="45"/>
      <c r="AU283" s="45"/>
      <c r="AV283" s="45"/>
      <c r="AW283" s="45"/>
      <c r="AX283" s="45"/>
      <c r="AY283" s="45"/>
      <c r="AZ283" s="45"/>
      <c r="BA283" s="45"/>
      <c r="BB283" s="45"/>
      <c r="BC283" s="45"/>
      <c r="BD283" s="45"/>
      <c r="BE283" s="45"/>
      <c r="BF283" s="45"/>
      <c r="BG283" s="45"/>
      <c r="BH283" s="45"/>
      <c r="BI283" s="45"/>
      <c r="BJ283" s="45"/>
      <c r="BK283" s="45"/>
      <c r="BL283" s="45"/>
      <c r="BM283" s="45"/>
      <c r="BN283" s="45"/>
      <c r="BO283" s="45"/>
      <c r="BP283" s="45"/>
    </row>
    <row r="284" spans="1:68" ht="15.75" customHeight="1" x14ac:dyDescent="0.15">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c r="AS284" s="45"/>
      <c r="AT284" s="45"/>
      <c r="AU284" s="45"/>
      <c r="AV284" s="45"/>
      <c r="AW284" s="45"/>
      <c r="AX284" s="45"/>
      <c r="AY284" s="45"/>
      <c r="AZ284" s="45"/>
      <c r="BA284" s="45"/>
      <c r="BB284" s="45"/>
      <c r="BC284" s="45"/>
      <c r="BD284" s="45"/>
      <c r="BE284" s="45"/>
      <c r="BF284" s="45"/>
      <c r="BG284" s="45"/>
      <c r="BH284" s="45"/>
      <c r="BI284" s="45"/>
      <c r="BJ284" s="45"/>
      <c r="BK284" s="45"/>
      <c r="BL284" s="45"/>
      <c r="BM284" s="45"/>
      <c r="BN284" s="45"/>
      <c r="BO284" s="45"/>
      <c r="BP284" s="45"/>
    </row>
    <row r="285" spans="1:68" ht="15.75" customHeight="1" x14ac:dyDescent="0.1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c r="AT285" s="45"/>
      <c r="AU285" s="45"/>
      <c r="AV285" s="45"/>
      <c r="AW285" s="45"/>
      <c r="AX285" s="45"/>
      <c r="AY285" s="45"/>
      <c r="AZ285" s="45"/>
      <c r="BA285" s="45"/>
      <c r="BB285" s="45"/>
      <c r="BC285" s="45"/>
      <c r="BD285" s="45"/>
      <c r="BE285" s="45"/>
      <c r="BF285" s="45"/>
      <c r="BG285" s="45"/>
      <c r="BH285" s="45"/>
      <c r="BI285" s="45"/>
      <c r="BJ285" s="45"/>
      <c r="BK285" s="45"/>
      <c r="BL285" s="45"/>
      <c r="BM285" s="45"/>
      <c r="BN285" s="45"/>
      <c r="BO285" s="45"/>
      <c r="BP285" s="45"/>
    </row>
    <row r="286" spans="1:68" ht="15.75" customHeight="1" x14ac:dyDescent="0.15">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c r="AS286" s="45"/>
      <c r="AT286" s="45"/>
      <c r="AU286" s="45"/>
      <c r="AV286" s="45"/>
      <c r="AW286" s="45"/>
      <c r="AX286" s="45"/>
      <c r="AY286" s="45"/>
      <c r="AZ286" s="45"/>
      <c r="BA286" s="45"/>
      <c r="BB286" s="45"/>
      <c r="BC286" s="45"/>
      <c r="BD286" s="45"/>
      <c r="BE286" s="45"/>
      <c r="BF286" s="45"/>
      <c r="BG286" s="45"/>
      <c r="BH286" s="45"/>
      <c r="BI286" s="45"/>
      <c r="BJ286" s="45"/>
      <c r="BK286" s="45"/>
      <c r="BL286" s="45"/>
      <c r="BM286" s="45"/>
      <c r="BN286" s="45"/>
      <c r="BO286" s="45"/>
      <c r="BP286" s="45"/>
    </row>
    <row r="287" spans="1:68" ht="15.75" customHeight="1" x14ac:dyDescent="0.15">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c r="AR287" s="45"/>
      <c r="AS287" s="45"/>
      <c r="AT287" s="45"/>
      <c r="AU287" s="45"/>
      <c r="AV287" s="45"/>
      <c r="AW287" s="45"/>
      <c r="AX287" s="45"/>
      <c r="AY287" s="45"/>
      <c r="AZ287" s="45"/>
      <c r="BA287" s="45"/>
      <c r="BB287" s="45"/>
      <c r="BC287" s="45"/>
      <c r="BD287" s="45"/>
      <c r="BE287" s="45"/>
      <c r="BF287" s="45"/>
      <c r="BG287" s="45"/>
      <c r="BH287" s="45"/>
      <c r="BI287" s="45"/>
      <c r="BJ287" s="45"/>
      <c r="BK287" s="45"/>
      <c r="BL287" s="45"/>
      <c r="BM287" s="45"/>
      <c r="BN287" s="45"/>
      <c r="BO287" s="45"/>
      <c r="BP287" s="45"/>
    </row>
    <row r="288" spans="1:68" ht="15.75" customHeight="1" x14ac:dyDescent="0.15">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c r="AS288" s="45"/>
      <c r="AT288" s="45"/>
      <c r="AU288" s="45"/>
      <c r="AV288" s="45"/>
      <c r="AW288" s="45"/>
      <c r="AX288" s="45"/>
      <c r="AY288" s="45"/>
      <c r="AZ288" s="45"/>
      <c r="BA288" s="45"/>
      <c r="BB288" s="45"/>
      <c r="BC288" s="45"/>
      <c r="BD288" s="45"/>
      <c r="BE288" s="45"/>
      <c r="BF288" s="45"/>
      <c r="BG288" s="45"/>
      <c r="BH288" s="45"/>
      <c r="BI288" s="45"/>
      <c r="BJ288" s="45"/>
      <c r="BK288" s="45"/>
      <c r="BL288" s="45"/>
      <c r="BM288" s="45"/>
      <c r="BN288" s="45"/>
      <c r="BO288" s="45"/>
      <c r="BP288" s="45"/>
    </row>
    <row r="289" spans="1:68" ht="15.75" customHeight="1" x14ac:dyDescent="0.15">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c r="AS289" s="45"/>
      <c r="AT289" s="45"/>
      <c r="AU289" s="45"/>
      <c r="AV289" s="45"/>
      <c r="AW289" s="45"/>
      <c r="AX289" s="45"/>
      <c r="AY289" s="45"/>
      <c r="AZ289" s="45"/>
      <c r="BA289" s="45"/>
      <c r="BB289" s="45"/>
      <c r="BC289" s="45"/>
      <c r="BD289" s="45"/>
      <c r="BE289" s="45"/>
      <c r="BF289" s="45"/>
      <c r="BG289" s="45"/>
      <c r="BH289" s="45"/>
      <c r="BI289" s="45"/>
      <c r="BJ289" s="45"/>
      <c r="BK289" s="45"/>
      <c r="BL289" s="45"/>
      <c r="BM289" s="45"/>
      <c r="BN289" s="45"/>
      <c r="BO289" s="45"/>
      <c r="BP289" s="45"/>
    </row>
    <row r="290" spans="1:68" ht="15.75" customHeight="1" x14ac:dyDescent="0.15"/>
    <row r="291" spans="1:68" ht="15.75" customHeight="1" x14ac:dyDescent="0.15"/>
    <row r="292" spans="1:68" ht="15.75" customHeight="1" x14ac:dyDescent="0.15"/>
    <row r="293" spans="1:68" ht="15.75" customHeight="1" x14ac:dyDescent="0.15"/>
    <row r="294" spans="1:68" ht="15.75" customHeight="1" x14ac:dyDescent="0.15"/>
    <row r="295" spans="1:68" ht="15.75" customHeight="1" x14ac:dyDescent="0.15"/>
    <row r="296" spans="1:68" ht="15.75" customHeight="1" x14ac:dyDescent="0.15"/>
    <row r="297" spans="1:68" ht="15.75" customHeight="1" x14ac:dyDescent="0.15"/>
    <row r="298" spans="1:68" ht="15.75" customHeight="1" x14ac:dyDescent="0.15"/>
    <row r="299" spans="1:68" ht="15.75" customHeight="1" x14ac:dyDescent="0.15"/>
    <row r="300" spans="1:68" ht="15.75" customHeight="1" x14ac:dyDescent="0.15"/>
    <row r="301" spans="1:68" ht="15.75" customHeight="1" x14ac:dyDescent="0.15"/>
    <row r="302" spans="1:68" ht="15.75" customHeight="1" x14ac:dyDescent="0.15"/>
    <row r="303" spans="1:68" ht="15.75" customHeight="1" x14ac:dyDescent="0.15"/>
    <row r="304" spans="1:68"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sheetData>
  <mergeCells count="24">
    <mergeCell ref="AY1:BC1"/>
    <mergeCell ref="BD1:BD2"/>
    <mergeCell ref="BJ1:BJ2"/>
    <mergeCell ref="BP1:BP2"/>
    <mergeCell ref="A1:A2"/>
    <mergeCell ref="B1:B2"/>
    <mergeCell ref="C1:G1"/>
    <mergeCell ref="H1:H2"/>
    <mergeCell ref="I1:M1"/>
    <mergeCell ref="N1:N2"/>
    <mergeCell ref="T1:T2"/>
    <mergeCell ref="BE1:BI1"/>
    <mergeCell ref="BK1:BO1"/>
    <mergeCell ref="O1:S1"/>
    <mergeCell ref="U1:Y1"/>
    <mergeCell ref="AA1:AE1"/>
    <mergeCell ref="AG1:AK1"/>
    <mergeCell ref="Z1:Z2"/>
    <mergeCell ref="AF1:AF2"/>
    <mergeCell ref="AL1:AL2"/>
    <mergeCell ref="AR1:AR2"/>
    <mergeCell ref="AX1:AX2"/>
    <mergeCell ref="AM1:AQ1"/>
    <mergeCell ref="AS1:AW1"/>
  </mergeCells>
  <dataValidations count="14">
    <dataValidation type="list" allowBlank="1" showErrorMessage="1" sqref="C60:C61 I60:I61 O60:O61 U60:U61 AA60:AA61 AG60:AG61 AM60:AM61 AS60:AS61 AY60:AY61 BE60:BE61 BK60:BK61" xr:uid="{00000000-0002-0000-0200-000000000000}">
      <formula1>"Tdap 28-38w / NA,Tdap 30-36w / CA"</formula1>
    </dataValidation>
    <dataValidation type="list" allowBlank="1" showErrorMessage="1" sqref="C69:C70 I69:I70 O69:O70 U69:U70 AA69:AA70 AG69:AG70 AM69:AM70 AS69:AS70 AY69:AY70 BE69:BE70 BK69:BK70" xr:uid="{00000000-0002-0000-0200-000001000000}">
      <formula1>"Tdap,No Tdap,Tdap - Case 1,Tdap - Case 2"</formula1>
    </dataValidation>
    <dataValidation type="list" allowBlank="1" showErrorMessage="1" sqref="C82 I82 O82 U82 AA82 AG82 AM82 AS82 AY82 BE82 BK82" xr:uid="{00000000-0002-0000-0200-000002000000}">
      <formula1>"Tdap,TT"</formula1>
    </dataValidation>
    <dataValidation type="list" allowBlank="1" showErrorMessage="1" sqref="C86:C88 I86:I88 O86:O88 U86:U88 AA86:AA88 AG86:AG88 AM86:AM88 AS86:AS88 AY86:AY88 BE86:BE88 BK86:BK88" xr:uid="{00000000-0002-0000-0200-000003000000}">
      <formula1>"Tdap (≤23 weeks + 6 days),Tdap (24–27 weeks + 6 days),Tdap (28–31 weeks + 6 days)"</formula1>
    </dataValidation>
    <dataValidation type="list" allowBlank="1" showErrorMessage="1" sqref="C25:C28 I25:I28 O25:O28 U25:U28 AA25:AA28 AG25:AG28 AM25:AM28 AS25:AS28 AY25:AY28 BE25:BE28 BK25:BK28" xr:uid="{00000000-0002-0000-0200-000004000000}">
      <formula1>"Tdap - Pregnancy,No Tdap - Pregnany,Tdap - prenatal,No Tdap- prenatal"</formula1>
    </dataValidation>
    <dataValidation type="list" allowBlank="1" showErrorMessage="1" sqref="C64:C65 I64:I65 O64:O65 U64:U65 AA64:AA65 AG64:AG65 AM64:AM65 AS64:AS65 AY64:AY65 BE64:BE65 BK64:BK65" xr:uid="{00000000-0002-0000-0200-000005000000}">
      <formula1>"Vaccinated 20-24w GA,Vaccinated 30-33w GA,Unvaccinated"</formula1>
    </dataValidation>
    <dataValidation type="list" allowBlank="1" showErrorMessage="1" sqref="C56:C57 I56:I57 O56:O57 U56:U57 AA56:AA57 AG56:AG57 AM56:AM57 AS56:AS57 AY56:AY57 BE56:BE57 BK56:BK57 C66 I66 O66 U66 AA66 AG66 AM66 AS66 AY66 BE66 BK66 C74 I74 O74 U74 AA74 AG74 AM74 AS74 AY74 BE74 BK74" xr:uid="{00000000-0002-0000-0200-000006000000}">
      <formula1>"Vaccinated,Unvaccinated"</formula1>
    </dataValidation>
    <dataValidation type="list" allowBlank="1" showErrorMessage="1" sqref="C43:C44 I43:I44 O43:O44 U43:U44 AA43:AA44 AG43:AG44 AM43:AM44 AS43:AS44 AY43:AY44 BE43:BE44 BK43:BK44" xr:uid="{00000000-0002-0000-0200-000007000000}">
      <formula1>"Tdap (any time),Tdap (27-36w),No Tdap"</formula1>
    </dataValidation>
    <dataValidation type="list" allowBlank="1" showErrorMessage="1" sqref="C52:C55 I52:I55 O52:O55 U52:U55 AA52:AA55 AG52:AG55 AM52:AM55 AS52:AS55 AY52:AY55 BE52:BE55 BK52:BK55" xr:uid="{00000000-0002-0000-0200-000008000000}">
      <formula1>"Tdap- HIV+,Tdap- HIV-,Td- HIV+,Td- HIV-"</formula1>
    </dataValidation>
    <dataValidation type="list" allowBlank="1" showErrorMessage="1" sqref="C8 I8 O8 U8 AA8 AG8 AM8 AS8 AY8 BE8 BK8" xr:uid="{00000000-0002-0000-0200-000009000000}">
      <formula1>"Tdap,No Tdap - TT"</formula1>
    </dataValidation>
    <dataValidation type="list" allowBlank="1" showErrorMessage="1" sqref="C79:C80 I79:I80 O79:O80 U79:U80 AA79:AA80 AG79:AG80 AM79:AM80 AS79:AS80 AY79:AY80 BE79:BE80 BK79:BK80" xr:uid="{00000000-0002-0000-0200-00000A000000}">
      <formula1>"Tdap (Prospective US),Tdap (Prospective World)"</formula1>
    </dataValidation>
    <dataValidation type="list" allowBlank="1" showErrorMessage="1" sqref="C3:C7 I3:I7 O3:O7 U3:U7 AA3:AA7 AG3:AG7 AM3:AM7 AS3:AS7 AY3:AY7 BE3:BE7 BK3:BK7 AM9:AM10 M11:M12 AL11:AM12 C9:C24 I9:I24 O9:O24 U9:U24 AA9:AA24 AG9:AG24 AM13:AM24 AS9:AS24 AY9:AY24 BE9:BE24 BK9:BK24 C29:C42 I29:I42 O29:O42 U29:U42 AA29:AA42 AG29:AG42 AM29:AM42 AS29:AS42 AY29:AY42 BE29:BE42 BK29:BK42 C45:C51 I45:I51 O45:O51 U45:U51 AA45:AA51 AG45:AG51 AM45:AM51 AS45:AS51 AY45:AY51 BE45:BE51 BK45:BK51 C58:C59 I58:I59 O58:O59 U58:U59 AA58:AA59 AG58:AG59 AM58:AM59 AS58:AS59 AY58:AY59 BE58:BE59 BK58:BK59 C62:C63 I62:I63 O62:O63 U62:U63 AA62:AA63 AG62:AG63 AM62:AM63 AS62:AS63 AY62:AY63 BE62:BE63 BK62:BK63 C67:C68 I67:I68 O67:O68 U67:U68 AA67:AA68 AG67:AG68 AM67:AM68 AS67:AS68 AY67:AY68 BE67:BE68 BK67:BK68 C71:C73 I71:I73 O71:O73 U71:U73 AA71:AA73 AG71:AG73 AM71:AM73 AS71:AS73 AY71:AY73 BE71:BE73 BK71:BK73 C75 I75 O75 U75 AA75 AG75 AM75 AS75 AY75 BE75 BK75 C78 I78 O78 U78 AA78 AG78 AM78 AS78 AY78 BE78 BK78 C81 I81 O81 U81 AA81 AG81 AM81 AS81 AY81 BE81 BK81 C85 I85 O85 U85 AA85 AG85 AM85 AS85 AY85 BE85 BK85 C89 I89 O89 U89 AA89 AG89 AM89 AS89 AY89 BE89 BK89" xr:uid="{00000000-0002-0000-0200-00000B000000}">
      <formula1>"Tdap,No Tdap"</formula1>
    </dataValidation>
    <dataValidation type="list" allowBlank="1" showErrorMessage="1" sqref="C76:C77 I76:I77 O76:O77 U76:U77 AA76:AA77 AG76:AG77 AM76:AM77 AS76:AS77 AY76:AY77 BE76:BE77 BK76:BK77" xr:uid="{00000000-0002-0000-0200-00000C000000}">
      <formula1>"Vaccinated HIV+,Vaccinated HIV-"</formula1>
    </dataValidation>
    <dataValidation type="list" allowBlank="1" showErrorMessage="1" sqref="C83:C84 I83:I84 O83:O84 U83:U84 AA83:AA84 AG83:AG84 AM83:AM84 AS83:AS84 AY83:AY84 BE83:BE84 BK83:BK84" xr:uid="{00000000-0002-0000-0200-00000D000000}">
      <formula1>"Tdap,No Tdap,Td"</formula1>
    </dataValidation>
  </dataValidations>
  <hyperlinks>
    <hyperlink ref="Y46" r:id="rId1" xr:uid="{00000000-0004-0000-0200-000000000000}"/>
    <hyperlink ref="H86" r:id="rId2" xr:uid="{00000000-0004-0000-0200-000001000000}"/>
    <hyperlink ref="H87" r:id="rId3" xr:uid="{00000000-0004-0000-0200-000002000000}"/>
    <hyperlink ref="H88" r:id="rId4" xr:uid="{00000000-0004-0000-0200-000003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Q995"/>
  <sheetViews>
    <sheetView workbookViewId="0">
      <pane xSplit="2" ySplit="2" topLeftCell="AI3" activePane="bottomRight" state="frozen"/>
      <selection pane="topRight" activeCell="C1" sqref="C1"/>
      <selection pane="bottomLeft" activeCell="A3" sqref="A3"/>
      <selection pane="bottomRight" activeCell="C3" sqref="C3"/>
    </sheetView>
  </sheetViews>
  <sheetFormatPr baseColWidth="10" defaultColWidth="12.6640625" defaultRowHeight="15" customHeight="1" x14ac:dyDescent="0.15"/>
  <cols>
    <col min="1" max="1" width="4.83203125" customWidth="1"/>
    <col min="2" max="2" width="15" customWidth="1"/>
    <col min="3" max="3" width="16.33203125" customWidth="1"/>
    <col min="4" max="4" width="7" customWidth="1"/>
    <col min="5" max="5" width="9" customWidth="1"/>
    <col min="6" max="6" width="17" customWidth="1"/>
    <col min="7" max="7" width="19.5" customWidth="1"/>
    <col min="9" max="9" width="16.33203125" customWidth="1"/>
    <col min="10" max="10" width="13.6640625" customWidth="1"/>
    <col min="11" max="11" width="12.6640625" customWidth="1"/>
    <col min="12" max="12" width="17" customWidth="1"/>
    <col min="13" max="13" width="19.5" customWidth="1"/>
    <col min="15" max="15" width="16.33203125" customWidth="1"/>
    <col min="16" max="16" width="7" customWidth="1"/>
    <col min="17" max="17" width="9.1640625" customWidth="1"/>
    <col min="18" max="18" width="17.33203125" customWidth="1"/>
    <col min="19" max="19" width="19.6640625" customWidth="1"/>
    <col min="21" max="21" width="16.33203125" customWidth="1"/>
    <col min="22" max="22" width="4.6640625" customWidth="1"/>
    <col min="23" max="23" width="15.1640625" customWidth="1"/>
    <col min="24" max="24" width="18.83203125" customWidth="1"/>
    <col min="26" max="26" width="16.33203125" customWidth="1"/>
    <col min="27" max="27" width="4.5" customWidth="1"/>
    <col min="28" max="28" width="9.5" customWidth="1"/>
    <col min="29" max="29" width="17.5" customWidth="1"/>
    <col min="30" max="30" width="19" customWidth="1"/>
    <col min="32" max="32" width="16.5" customWidth="1"/>
    <col min="33" max="33" width="4.1640625" customWidth="1"/>
    <col min="34" max="34" width="14.33203125" customWidth="1"/>
    <col min="35" max="35" width="17.6640625" customWidth="1"/>
    <col min="36" max="36" width="25.83203125" customWidth="1"/>
    <col min="37" max="38" width="19.6640625" customWidth="1"/>
    <col min="39" max="39" width="7.6640625" customWidth="1"/>
    <col min="40" max="40" width="9" customWidth="1"/>
    <col min="41" max="41" width="17.6640625" customWidth="1"/>
    <col min="42" max="42" width="18.5" customWidth="1"/>
  </cols>
  <sheetData>
    <row r="1" spans="1:43" ht="15.75" customHeight="1" x14ac:dyDescent="0.15">
      <c r="A1" s="83" t="s">
        <v>0</v>
      </c>
      <c r="B1" s="83" t="s">
        <v>1</v>
      </c>
      <c r="C1" s="81" t="s">
        <v>1944</v>
      </c>
      <c r="D1" s="61"/>
      <c r="E1" s="61"/>
      <c r="F1" s="61"/>
      <c r="G1" s="62"/>
      <c r="H1" s="84" t="s">
        <v>1261</v>
      </c>
      <c r="I1" s="81" t="s">
        <v>1945</v>
      </c>
      <c r="J1" s="61"/>
      <c r="K1" s="61"/>
      <c r="L1" s="61"/>
      <c r="M1" s="62"/>
      <c r="N1" s="84" t="s">
        <v>1261</v>
      </c>
      <c r="O1" s="81" t="s">
        <v>1946</v>
      </c>
      <c r="P1" s="61"/>
      <c r="Q1" s="61"/>
      <c r="R1" s="61"/>
      <c r="S1" s="62"/>
      <c r="T1" s="84" t="s">
        <v>1261</v>
      </c>
      <c r="U1" s="81" t="s">
        <v>1947</v>
      </c>
      <c r="V1" s="61"/>
      <c r="W1" s="61"/>
      <c r="X1" s="62"/>
      <c r="Y1" s="82" t="s">
        <v>1261</v>
      </c>
      <c r="Z1" s="81" t="s">
        <v>1948</v>
      </c>
      <c r="AA1" s="61"/>
      <c r="AB1" s="61"/>
      <c r="AC1" s="61"/>
      <c r="AD1" s="62"/>
      <c r="AE1" s="82" t="s">
        <v>1261</v>
      </c>
      <c r="AF1" s="81" t="s">
        <v>1949</v>
      </c>
      <c r="AG1" s="61"/>
      <c r="AH1" s="61"/>
      <c r="AI1" s="61"/>
      <c r="AJ1" s="62"/>
      <c r="AK1" s="82" t="s">
        <v>1261</v>
      </c>
      <c r="AL1" s="81" t="s">
        <v>1950</v>
      </c>
      <c r="AM1" s="61"/>
      <c r="AN1" s="61"/>
      <c r="AO1" s="61"/>
      <c r="AP1" s="62"/>
      <c r="AQ1" s="82" t="s">
        <v>1261</v>
      </c>
    </row>
    <row r="2" spans="1:43" ht="15.75" customHeight="1" x14ac:dyDescent="0.15">
      <c r="A2" s="67"/>
      <c r="B2" s="67"/>
      <c r="C2" s="46" t="s">
        <v>26</v>
      </c>
      <c r="D2" s="47" t="s">
        <v>1269</v>
      </c>
      <c r="E2" s="46" t="s">
        <v>1272</v>
      </c>
      <c r="F2" s="46" t="s">
        <v>1570</v>
      </c>
      <c r="G2" s="46" t="s">
        <v>1273</v>
      </c>
      <c r="H2" s="67"/>
      <c r="I2" s="46" t="s">
        <v>26</v>
      </c>
      <c r="J2" s="46" t="s">
        <v>1269</v>
      </c>
      <c r="K2" s="46" t="s">
        <v>1272</v>
      </c>
      <c r="L2" s="46" t="s">
        <v>1570</v>
      </c>
      <c r="M2" s="46" t="s">
        <v>1273</v>
      </c>
      <c r="N2" s="67"/>
      <c r="O2" s="46" t="s">
        <v>26</v>
      </c>
      <c r="P2" s="46" t="s">
        <v>1269</v>
      </c>
      <c r="Q2" s="46" t="s">
        <v>1272</v>
      </c>
      <c r="R2" s="46" t="s">
        <v>1570</v>
      </c>
      <c r="S2" s="46" t="s">
        <v>1273</v>
      </c>
      <c r="T2" s="67"/>
      <c r="U2" s="46" t="s">
        <v>26</v>
      </c>
      <c r="V2" s="46" t="s">
        <v>1269</v>
      </c>
      <c r="W2" s="46" t="s">
        <v>1951</v>
      </c>
      <c r="X2" s="46" t="s">
        <v>1952</v>
      </c>
      <c r="Y2" s="67"/>
      <c r="Z2" s="46" t="s">
        <v>26</v>
      </c>
      <c r="AA2" s="46" t="s">
        <v>1269</v>
      </c>
      <c r="AB2" s="46" t="s">
        <v>1272</v>
      </c>
      <c r="AC2" s="46" t="s">
        <v>1570</v>
      </c>
      <c r="AD2" s="46" t="s">
        <v>1273</v>
      </c>
      <c r="AE2" s="67"/>
      <c r="AF2" s="46" t="s">
        <v>26</v>
      </c>
      <c r="AG2" s="46" t="s">
        <v>1269</v>
      </c>
      <c r="AH2" s="46" t="s">
        <v>1272</v>
      </c>
      <c r="AI2" s="46" t="s">
        <v>1570</v>
      </c>
      <c r="AJ2" s="46" t="s">
        <v>1273</v>
      </c>
      <c r="AK2" s="67"/>
      <c r="AL2" s="46" t="s">
        <v>26</v>
      </c>
      <c r="AM2" s="46" t="s">
        <v>1269</v>
      </c>
      <c r="AN2" s="46" t="s">
        <v>1272</v>
      </c>
      <c r="AO2" s="46" t="s">
        <v>1570</v>
      </c>
      <c r="AP2" s="46" t="s">
        <v>1273</v>
      </c>
      <c r="AQ2" s="67"/>
    </row>
    <row r="3" spans="1:43" ht="52.5" customHeight="1" x14ac:dyDescent="0.15">
      <c r="A3" s="48">
        <v>1271</v>
      </c>
      <c r="B3" s="48" t="s">
        <v>63</v>
      </c>
      <c r="C3" s="48" t="s">
        <v>33</v>
      </c>
      <c r="D3" s="49">
        <v>16606</v>
      </c>
      <c r="E3" s="48" t="s">
        <v>34</v>
      </c>
      <c r="F3" s="48" t="s">
        <v>34</v>
      </c>
      <c r="G3" s="48" t="s">
        <v>34</v>
      </c>
      <c r="H3" s="48"/>
      <c r="I3" s="48" t="s">
        <v>33</v>
      </c>
      <c r="J3" s="49">
        <v>16606</v>
      </c>
      <c r="K3" s="48" t="s">
        <v>34</v>
      </c>
      <c r="L3" s="48" t="s">
        <v>34</v>
      </c>
      <c r="M3" s="48" t="s">
        <v>34</v>
      </c>
      <c r="N3" s="48"/>
      <c r="O3" s="48" t="s">
        <v>33</v>
      </c>
      <c r="P3" s="49">
        <v>16606</v>
      </c>
      <c r="Q3" s="48" t="s">
        <v>34</v>
      </c>
      <c r="R3" s="48" t="s">
        <v>34</v>
      </c>
      <c r="S3" s="48" t="s">
        <v>34</v>
      </c>
      <c r="T3" s="48"/>
      <c r="U3" s="48" t="s">
        <v>33</v>
      </c>
      <c r="V3" s="49">
        <v>16606</v>
      </c>
      <c r="W3" s="48" t="s">
        <v>34</v>
      </c>
      <c r="X3" s="48" t="s">
        <v>34</v>
      </c>
      <c r="Y3" s="48"/>
      <c r="Z3" s="48" t="s">
        <v>33</v>
      </c>
      <c r="AA3" s="49">
        <v>16606</v>
      </c>
      <c r="AB3" s="48" t="s">
        <v>34</v>
      </c>
      <c r="AC3" s="48" t="s">
        <v>34</v>
      </c>
      <c r="AD3" s="48" t="s">
        <v>34</v>
      </c>
      <c r="AE3" s="48"/>
      <c r="AF3" s="48" t="s">
        <v>33</v>
      </c>
      <c r="AG3" s="49">
        <v>16350</v>
      </c>
      <c r="AH3" s="48" t="s">
        <v>1953</v>
      </c>
      <c r="AI3" s="48" t="s">
        <v>1954</v>
      </c>
      <c r="AJ3" s="48" t="s">
        <v>1955</v>
      </c>
      <c r="AK3" s="48" t="s">
        <v>1956</v>
      </c>
      <c r="AL3" s="48" t="s">
        <v>33</v>
      </c>
      <c r="AM3" s="49">
        <v>16606</v>
      </c>
      <c r="AN3" s="48" t="s">
        <v>34</v>
      </c>
      <c r="AO3" s="48" t="s">
        <v>34</v>
      </c>
      <c r="AP3" s="48" t="s">
        <v>34</v>
      </c>
      <c r="AQ3" s="48"/>
    </row>
    <row r="4" spans="1:43" ht="74.25" customHeight="1" x14ac:dyDescent="0.15">
      <c r="A4" s="50">
        <v>1271</v>
      </c>
      <c r="B4" s="50" t="s">
        <v>63</v>
      </c>
      <c r="C4" s="50" t="s">
        <v>46</v>
      </c>
      <c r="D4" s="51">
        <v>16606</v>
      </c>
      <c r="E4" s="50" t="s">
        <v>34</v>
      </c>
      <c r="F4" s="50" t="s">
        <v>34</v>
      </c>
      <c r="G4" s="50" t="s">
        <v>34</v>
      </c>
      <c r="H4" s="50"/>
      <c r="I4" s="50" t="s">
        <v>46</v>
      </c>
      <c r="J4" s="51">
        <v>16606</v>
      </c>
      <c r="K4" s="50" t="s">
        <v>34</v>
      </c>
      <c r="L4" s="50" t="s">
        <v>34</v>
      </c>
      <c r="M4" s="50" t="s">
        <v>34</v>
      </c>
      <c r="N4" s="50"/>
      <c r="O4" s="50" t="s">
        <v>46</v>
      </c>
      <c r="P4" s="51">
        <v>16606</v>
      </c>
      <c r="Q4" s="50" t="s">
        <v>34</v>
      </c>
      <c r="R4" s="50" t="s">
        <v>34</v>
      </c>
      <c r="S4" s="50" t="s">
        <v>34</v>
      </c>
      <c r="T4" s="50"/>
      <c r="U4" s="50" t="s">
        <v>46</v>
      </c>
      <c r="V4" s="51">
        <v>16606</v>
      </c>
      <c r="W4" s="50" t="s">
        <v>34</v>
      </c>
      <c r="X4" s="50" t="s">
        <v>34</v>
      </c>
      <c r="Y4" s="50"/>
      <c r="Z4" s="50" t="s">
        <v>46</v>
      </c>
      <c r="AA4" s="51">
        <v>16606</v>
      </c>
      <c r="AB4" s="50" t="s">
        <v>34</v>
      </c>
      <c r="AC4" s="50" t="s">
        <v>34</v>
      </c>
      <c r="AD4" s="50" t="s">
        <v>34</v>
      </c>
      <c r="AE4" s="50"/>
      <c r="AF4" s="50" t="s">
        <v>46</v>
      </c>
      <c r="AG4" s="51">
        <v>16088</v>
      </c>
      <c r="AH4" s="50" t="s">
        <v>1957</v>
      </c>
      <c r="AI4" s="50"/>
      <c r="AJ4" s="50"/>
      <c r="AK4" s="50"/>
      <c r="AL4" s="50" t="s">
        <v>46</v>
      </c>
      <c r="AM4" s="51">
        <v>16606</v>
      </c>
      <c r="AN4" s="50" t="s">
        <v>34</v>
      </c>
      <c r="AO4" s="50" t="s">
        <v>34</v>
      </c>
      <c r="AP4" s="50" t="s">
        <v>34</v>
      </c>
      <c r="AQ4" s="50"/>
    </row>
    <row r="5" spans="1:43" ht="57.75" customHeight="1" x14ac:dyDescent="0.15">
      <c r="A5" s="50">
        <v>4065</v>
      </c>
      <c r="B5" s="50" t="s">
        <v>95</v>
      </c>
      <c r="C5" s="50" t="s">
        <v>33</v>
      </c>
      <c r="D5" s="51">
        <v>16350</v>
      </c>
      <c r="E5" s="52">
        <v>15</v>
      </c>
      <c r="F5" s="52" t="s">
        <v>1958</v>
      </c>
      <c r="G5" s="52" t="s">
        <v>1959</v>
      </c>
      <c r="H5" s="52" t="s">
        <v>1587</v>
      </c>
      <c r="I5" s="50" t="s">
        <v>33</v>
      </c>
      <c r="J5" s="51" t="s">
        <v>1960</v>
      </c>
      <c r="K5" s="53" t="s">
        <v>1961</v>
      </c>
      <c r="L5" s="52" t="s">
        <v>1962</v>
      </c>
      <c r="M5" s="50" t="s">
        <v>1963</v>
      </c>
      <c r="N5" s="52" t="s">
        <v>1964</v>
      </c>
      <c r="O5" s="50" t="s">
        <v>33</v>
      </c>
      <c r="P5" s="51">
        <v>16606</v>
      </c>
      <c r="Q5" s="52" t="s">
        <v>34</v>
      </c>
      <c r="R5" s="52" t="s">
        <v>34</v>
      </c>
      <c r="S5" s="52" t="s">
        <v>34</v>
      </c>
      <c r="T5" s="52"/>
      <c r="U5" s="50" t="s">
        <v>33</v>
      </c>
      <c r="V5" s="51">
        <v>16350</v>
      </c>
      <c r="W5" s="52" t="s">
        <v>1965</v>
      </c>
      <c r="X5" s="50" t="s">
        <v>1966</v>
      </c>
      <c r="Y5" s="52" t="s">
        <v>1967</v>
      </c>
      <c r="Z5" s="50" t="s">
        <v>33</v>
      </c>
      <c r="AA5" s="51">
        <v>16606</v>
      </c>
      <c r="AB5" s="52" t="s">
        <v>34</v>
      </c>
      <c r="AC5" s="52" t="s">
        <v>34</v>
      </c>
      <c r="AD5" s="52" t="s">
        <v>34</v>
      </c>
      <c r="AE5" s="52"/>
      <c r="AF5" s="50" t="s">
        <v>33</v>
      </c>
      <c r="AG5" s="51">
        <v>16606</v>
      </c>
      <c r="AH5" s="52" t="s">
        <v>55</v>
      </c>
      <c r="AI5" s="52" t="s">
        <v>55</v>
      </c>
      <c r="AJ5" s="52" t="s">
        <v>55</v>
      </c>
      <c r="AK5" s="52" t="s">
        <v>1968</v>
      </c>
      <c r="AL5" s="50" t="s">
        <v>33</v>
      </c>
      <c r="AM5" s="51">
        <v>16606</v>
      </c>
      <c r="AN5" s="52" t="s">
        <v>34</v>
      </c>
      <c r="AO5" s="52" t="s">
        <v>34</v>
      </c>
      <c r="AP5" s="52" t="s">
        <v>34</v>
      </c>
      <c r="AQ5" s="52"/>
    </row>
    <row r="6" spans="1:43" ht="54" customHeight="1" x14ac:dyDescent="0.15">
      <c r="A6" s="50">
        <v>4065</v>
      </c>
      <c r="B6" s="50" t="s">
        <v>95</v>
      </c>
      <c r="C6" s="50" t="s">
        <v>46</v>
      </c>
      <c r="D6" s="51">
        <v>16088</v>
      </c>
      <c r="E6" s="52">
        <v>17</v>
      </c>
      <c r="F6" s="52" t="s">
        <v>34</v>
      </c>
      <c r="G6" s="52" t="s">
        <v>34</v>
      </c>
      <c r="H6" s="52"/>
      <c r="I6" s="50" t="s">
        <v>46</v>
      </c>
      <c r="J6" s="51" t="s">
        <v>1969</v>
      </c>
      <c r="K6" s="53" t="s">
        <v>1970</v>
      </c>
      <c r="L6" s="52" t="s">
        <v>34</v>
      </c>
      <c r="M6" s="52" t="s">
        <v>1591</v>
      </c>
      <c r="N6" s="52" t="s">
        <v>1971</v>
      </c>
      <c r="O6" s="50" t="s">
        <v>46</v>
      </c>
      <c r="P6" s="51">
        <v>16606</v>
      </c>
      <c r="Q6" s="52" t="s">
        <v>34</v>
      </c>
      <c r="R6" s="52" t="s">
        <v>34</v>
      </c>
      <c r="S6" s="52" t="s">
        <v>34</v>
      </c>
      <c r="T6" s="52"/>
      <c r="U6" s="50" t="s">
        <v>46</v>
      </c>
      <c r="V6" s="51">
        <v>16088</v>
      </c>
      <c r="W6" s="52" t="s">
        <v>1972</v>
      </c>
      <c r="X6" s="52" t="s">
        <v>34</v>
      </c>
      <c r="Y6" s="52"/>
      <c r="Z6" s="50" t="s">
        <v>46</v>
      </c>
      <c r="AA6" s="51">
        <v>16606</v>
      </c>
      <c r="AB6" s="52" t="s">
        <v>34</v>
      </c>
      <c r="AC6" s="52" t="s">
        <v>34</v>
      </c>
      <c r="AD6" s="52" t="s">
        <v>34</v>
      </c>
      <c r="AE6" s="52"/>
      <c r="AF6" s="50" t="s">
        <v>46</v>
      </c>
      <c r="AG6" s="51">
        <v>16606</v>
      </c>
      <c r="AH6" s="52" t="s">
        <v>55</v>
      </c>
      <c r="AI6" s="52" t="s">
        <v>55</v>
      </c>
      <c r="AJ6" s="52" t="s">
        <v>55</v>
      </c>
      <c r="AK6" s="52"/>
      <c r="AL6" s="50" t="s">
        <v>46</v>
      </c>
      <c r="AM6" s="51">
        <v>16606</v>
      </c>
      <c r="AN6" s="52" t="s">
        <v>34</v>
      </c>
      <c r="AO6" s="52" t="s">
        <v>34</v>
      </c>
      <c r="AP6" s="52" t="s">
        <v>34</v>
      </c>
      <c r="AQ6" s="52"/>
    </row>
    <row r="7" spans="1:43" ht="15.75" customHeight="1" x14ac:dyDescent="0.15">
      <c r="A7" s="52">
        <v>2341</v>
      </c>
      <c r="B7" s="52" t="s">
        <v>114</v>
      </c>
      <c r="C7" s="52" t="s">
        <v>33</v>
      </c>
      <c r="D7" s="52">
        <v>66</v>
      </c>
      <c r="E7" s="52" t="s">
        <v>34</v>
      </c>
      <c r="F7" s="52" t="s">
        <v>34</v>
      </c>
      <c r="G7" s="52" t="s">
        <v>34</v>
      </c>
      <c r="H7" s="52"/>
      <c r="I7" s="52" t="s">
        <v>33</v>
      </c>
      <c r="J7" s="52">
        <v>66</v>
      </c>
      <c r="K7" s="52" t="s">
        <v>34</v>
      </c>
      <c r="L7" s="52" t="s">
        <v>34</v>
      </c>
      <c r="M7" s="52" t="s">
        <v>34</v>
      </c>
      <c r="N7" s="52"/>
      <c r="O7" s="52" t="s">
        <v>33</v>
      </c>
      <c r="P7" s="52">
        <v>66</v>
      </c>
      <c r="Q7" s="52" t="s">
        <v>34</v>
      </c>
      <c r="R7" s="52" t="s">
        <v>34</v>
      </c>
      <c r="S7" s="52" t="s">
        <v>34</v>
      </c>
      <c r="T7" s="52"/>
      <c r="U7" s="52" t="s">
        <v>33</v>
      </c>
      <c r="V7" s="52">
        <v>66</v>
      </c>
      <c r="W7" s="52" t="s">
        <v>1973</v>
      </c>
      <c r="X7" s="52" t="s">
        <v>1974</v>
      </c>
      <c r="Y7" s="52" t="s">
        <v>1761</v>
      </c>
      <c r="Z7" s="52" t="s">
        <v>33</v>
      </c>
      <c r="AA7" s="52">
        <v>66</v>
      </c>
      <c r="AB7" s="52" t="s">
        <v>34</v>
      </c>
      <c r="AC7" s="52" t="s">
        <v>34</v>
      </c>
      <c r="AD7" s="52" t="s">
        <v>34</v>
      </c>
      <c r="AE7" s="52"/>
      <c r="AF7" s="52" t="s">
        <v>33</v>
      </c>
      <c r="AG7" s="52">
        <v>66</v>
      </c>
      <c r="AH7" s="52" t="s">
        <v>34</v>
      </c>
      <c r="AI7" s="52" t="s">
        <v>34</v>
      </c>
      <c r="AJ7" s="52" t="s">
        <v>34</v>
      </c>
      <c r="AK7" s="52"/>
      <c r="AL7" s="52" t="s">
        <v>33</v>
      </c>
      <c r="AM7" s="52">
        <v>66</v>
      </c>
      <c r="AN7" s="52" t="s">
        <v>34</v>
      </c>
      <c r="AO7" s="52" t="s">
        <v>34</v>
      </c>
      <c r="AP7" s="52" t="s">
        <v>34</v>
      </c>
      <c r="AQ7" s="52"/>
    </row>
    <row r="8" spans="1:43" ht="15.75" customHeight="1" x14ac:dyDescent="0.15">
      <c r="A8" s="52">
        <v>2341</v>
      </c>
      <c r="B8" s="52" t="s">
        <v>114</v>
      </c>
      <c r="C8" s="52" t="s">
        <v>46</v>
      </c>
      <c r="D8" s="52">
        <v>101</v>
      </c>
      <c r="E8" s="52" t="s">
        <v>34</v>
      </c>
      <c r="F8" s="52" t="s">
        <v>34</v>
      </c>
      <c r="G8" s="52" t="s">
        <v>34</v>
      </c>
      <c r="H8" s="52"/>
      <c r="I8" s="52" t="s">
        <v>46</v>
      </c>
      <c r="J8" s="52">
        <v>101</v>
      </c>
      <c r="K8" s="52" t="s">
        <v>34</v>
      </c>
      <c r="L8" s="52" t="s">
        <v>34</v>
      </c>
      <c r="M8" s="52" t="s">
        <v>34</v>
      </c>
      <c r="N8" s="52"/>
      <c r="O8" s="52" t="s">
        <v>46</v>
      </c>
      <c r="P8" s="52">
        <v>101</v>
      </c>
      <c r="Q8" s="52" t="s">
        <v>34</v>
      </c>
      <c r="R8" s="52" t="s">
        <v>34</v>
      </c>
      <c r="S8" s="52" t="s">
        <v>34</v>
      </c>
      <c r="T8" s="52"/>
      <c r="U8" s="52" t="s">
        <v>46</v>
      </c>
      <c r="V8" s="52">
        <v>101</v>
      </c>
      <c r="W8" s="52" t="s">
        <v>1975</v>
      </c>
      <c r="X8" s="52" t="s">
        <v>1974</v>
      </c>
      <c r="Y8" s="52"/>
      <c r="Z8" s="52" t="s">
        <v>46</v>
      </c>
      <c r="AA8" s="52">
        <v>101</v>
      </c>
      <c r="AB8" s="52" t="s">
        <v>34</v>
      </c>
      <c r="AC8" s="52" t="s">
        <v>34</v>
      </c>
      <c r="AD8" s="52" t="s">
        <v>34</v>
      </c>
      <c r="AE8" s="52"/>
      <c r="AF8" s="52" t="s">
        <v>46</v>
      </c>
      <c r="AG8" s="52">
        <v>101</v>
      </c>
      <c r="AH8" s="52" t="s">
        <v>34</v>
      </c>
      <c r="AI8" s="52" t="s">
        <v>34</v>
      </c>
      <c r="AJ8" s="52" t="s">
        <v>34</v>
      </c>
      <c r="AK8" s="52"/>
      <c r="AL8" s="52" t="s">
        <v>46</v>
      </c>
      <c r="AM8" s="52">
        <v>101</v>
      </c>
      <c r="AN8" s="52" t="s">
        <v>34</v>
      </c>
      <c r="AO8" s="52" t="s">
        <v>34</v>
      </c>
      <c r="AP8" s="52" t="s">
        <v>34</v>
      </c>
      <c r="AQ8" s="52"/>
    </row>
    <row r="9" spans="1:43" ht="15.75" customHeight="1" x14ac:dyDescent="0.15">
      <c r="A9" s="52">
        <v>1200</v>
      </c>
      <c r="B9" s="52" t="s">
        <v>127</v>
      </c>
      <c r="C9" s="52" t="s">
        <v>33</v>
      </c>
      <c r="D9" s="53">
        <v>11483</v>
      </c>
      <c r="E9" s="52" t="s">
        <v>34</v>
      </c>
      <c r="F9" s="52" t="s">
        <v>34</v>
      </c>
      <c r="G9" s="52" t="s">
        <v>34</v>
      </c>
      <c r="H9" s="52"/>
      <c r="I9" s="52" t="s">
        <v>33</v>
      </c>
      <c r="J9" s="53">
        <v>11483</v>
      </c>
      <c r="K9" s="52">
        <v>1053</v>
      </c>
      <c r="L9" s="52" t="s">
        <v>1976</v>
      </c>
      <c r="M9" s="52" t="s">
        <v>1977</v>
      </c>
      <c r="N9" s="52" t="s">
        <v>1978</v>
      </c>
      <c r="O9" s="52" t="s">
        <v>33</v>
      </c>
      <c r="P9" s="53">
        <v>11483</v>
      </c>
      <c r="Q9" s="52" t="s">
        <v>34</v>
      </c>
      <c r="R9" s="52" t="s">
        <v>34</v>
      </c>
      <c r="S9" s="52" t="s">
        <v>34</v>
      </c>
      <c r="T9" s="52"/>
      <c r="U9" s="52" t="s">
        <v>33</v>
      </c>
      <c r="V9" s="53">
        <v>11483</v>
      </c>
      <c r="W9" s="52" t="s">
        <v>34</v>
      </c>
      <c r="X9" s="52" t="s">
        <v>34</v>
      </c>
      <c r="Y9" s="52"/>
      <c r="Z9" s="52" t="s">
        <v>33</v>
      </c>
      <c r="AA9" s="53">
        <v>11483</v>
      </c>
      <c r="AB9" s="52">
        <v>713</v>
      </c>
      <c r="AC9" s="52" t="s">
        <v>1979</v>
      </c>
      <c r="AD9" s="52" t="s">
        <v>1980</v>
      </c>
      <c r="AE9" s="52"/>
      <c r="AF9" s="52" t="s">
        <v>33</v>
      </c>
      <c r="AG9" s="53">
        <v>11483</v>
      </c>
      <c r="AH9" s="52" t="s">
        <v>34</v>
      </c>
      <c r="AI9" s="52" t="s">
        <v>34</v>
      </c>
      <c r="AJ9" s="52" t="s">
        <v>34</v>
      </c>
      <c r="AK9" s="52"/>
      <c r="AL9" s="52" t="s">
        <v>33</v>
      </c>
      <c r="AM9" s="53">
        <v>11483</v>
      </c>
      <c r="AN9" s="52" t="s">
        <v>34</v>
      </c>
      <c r="AO9" s="52" t="s">
        <v>34</v>
      </c>
      <c r="AP9" s="52" t="s">
        <v>34</v>
      </c>
      <c r="AQ9" s="52"/>
    </row>
    <row r="10" spans="1:43" ht="15.75" customHeight="1" x14ac:dyDescent="0.15">
      <c r="A10" s="52">
        <v>1200</v>
      </c>
      <c r="B10" s="52" t="s">
        <v>127</v>
      </c>
      <c r="C10" s="52" t="s">
        <v>46</v>
      </c>
      <c r="D10" s="53">
        <v>600445</v>
      </c>
      <c r="E10" s="52" t="s">
        <v>34</v>
      </c>
      <c r="F10" s="52" t="s">
        <v>34</v>
      </c>
      <c r="G10" s="52" t="s">
        <v>34</v>
      </c>
      <c r="H10" s="52"/>
      <c r="I10" s="52" t="s">
        <v>46</v>
      </c>
      <c r="J10" s="53">
        <v>600445</v>
      </c>
      <c r="K10" s="53">
        <v>57049</v>
      </c>
      <c r="L10" s="52" t="s">
        <v>34</v>
      </c>
      <c r="M10" s="52" t="s">
        <v>34</v>
      </c>
      <c r="N10" s="52"/>
      <c r="O10" s="52" t="s">
        <v>46</v>
      </c>
      <c r="P10" s="53">
        <v>600445</v>
      </c>
      <c r="Q10" s="52" t="s">
        <v>34</v>
      </c>
      <c r="R10" s="52" t="s">
        <v>34</v>
      </c>
      <c r="S10" s="52" t="s">
        <v>34</v>
      </c>
      <c r="T10" s="52"/>
      <c r="U10" s="52" t="s">
        <v>46</v>
      </c>
      <c r="V10" s="53">
        <v>600445</v>
      </c>
      <c r="W10" s="52" t="s">
        <v>34</v>
      </c>
      <c r="X10" s="52" t="s">
        <v>34</v>
      </c>
      <c r="Y10" s="52"/>
      <c r="Z10" s="52" t="s">
        <v>46</v>
      </c>
      <c r="AA10" s="53">
        <v>600445</v>
      </c>
      <c r="AB10" s="52">
        <v>46271</v>
      </c>
      <c r="AC10" s="52" t="s">
        <v>34</v>
      </c>
      <c r="AD10" s="52" t="s">
        <v>34</v>
      </c>
      <c r="AE10" s="52"/>
      <c r="AF10" s="52" t="s">
        <v>46</v>
      </c>
      <c r="AG10" s="53">
        <v>600445</v>
      </c>
      <c r="AH10" s="52" t="s">
        <v>34</v>
      </c>
      <c r="AI10" s="52" t="s">
        <v>34</v>
      </c>
      <c r="AJ10" s="52" t="s">
        <v>34</v>
      </c>
      <c r="AK10" s="52"/>
      <c r="AL10" s="52" t="s">
        <v>46</v>
      </c>
      <c r="AM10" s="53">
        <v>600445</v>
      </c>
      <c r="AN10" s="52" t="s">
        <v>34</v>
      </c>
      <c r="AO10" s="52" t="s">
        <v>34</v>
      </c>
      <c r="AP10" s="52" t="s">
        <v>34</v>
      </c>
      <c r="AQ10" s="52"/>
    </row>
    <row r="11" spans="1:43" ht="15.75" customHeight="1" x14ac:dyDescent="0.15">
      <c r="A11" s="50">
        <v>1417</v>
      </c>
      <c r="B11" s="50" t="s">
        <v>192</v>
      </c>
      <c r="C11" s="50" t="s">
        <v>33</v>
      </c>
      <c r="D11" s="51">
        <v>192487</v>
      </c>
      <c r="E11" s="50" t="s">
        <v>34</v>
      </c>
      <c r="F11" s="50" t="s">
        <v>34</v>
      </c>
      <c r="G11" s="50" t="s">
        <v>34</v>
      </c>
      <c r="H11" s="52"/>
      <c r="I11" s="50" t="str">
        <f t="shared" ref="I11:J11" si="0">C11</f>
        <v>Tdap</v>
      </c>
      <c r="J11" s="51">
        <f t="shared" si="0"/>
        <v>192487</v>
      </c>
      <c r="K11" s="50">
        <v>15728</v>
      </c>
      <c r="L11" s="50" t="s">
        <v>1981</v>
      </c>
      <c r="M11" s="50" t="s">
        <v>1982</v>
      </c>
      <c r="N11" s="52"/>
      <c r="O11" s="50" t="str">
        <f t="shared" ref="O11:P11" si="1">I11</f>
        <v>Tdap</v>
      </c>
      <c r="P11" s="51">
        <f t="shared" si="1"/>
        <v>192487</v>
      </c>
      <c r="Q11" s="50" t="s">
        <v>34</v>
      </c>
      <c r="R11" s="50" t="s">
        <v>34</v>
      </c>
      <c r="S11" s="50" t="s">
        <v>34</v>
      </c>
      <c r="T11" s="52"/>
      <c r="U11" s="50" t="str">
        <f t="shared" ref="U11:V11" si="2">O11</f>
        <v>Tdap</v>
      </c>
      <c r="V11" s="51">
        <f t="shared" si="2"/>
        <v>192487</v>
      </c>
      <c r="W11" s="50" t="s">
        <v>34</v>
      </c>
      <c r="X11" s="50" t="s">
        <v>34</v>
      </c>
      <c r="Y11" s="52"/>
      <c r="Z11" s="50" t="str">
        <f t="shared" ref="Z11:AA11" si="3">U11</f>
        <v>Tdap</v>
      </c>
      <c r="AA11" s="51">
        <f t="shared" si="3"/>
        <v>192487</v>
      </c>
      <c r="AB11" s="50" t="s">
        <v>34</v>
      </c>
      <c r="AC11" s="50" t="s">
        <v>34</v>
      </c>
      <c r="AD11" s="50" t="s">
        <v>34</v>
      </c>
      <c r="AE11" s="52"/>
      <c r="AF11" s="50" t="str">
        <f t="shared" ref="AF11:AG11" si="4">Z11</f>
        <v>Tdap</v>
      </c>
      <c r="AG11" s="51">
        <f t="shared" si="4"/>
        <v>192487</v>
      </c>
      <c r="AH11" s="50" t="s">
        <v>34</v>
      </c>
      <c r="AI11" s="50" t="s">
        <v>34</v>
      </c>
      <c r="AJ11" s="50" t="s">
        <v>34</v>
      </c>
      <c r="AK11" s="52"/>
      <c r="AL11" s="50" t="str">
        <f t="shared" ref="AL11:AM11" si="5">AF11</f>
        <v>Tdap</v>
      </c>
      <c r="AM11" s="51">
        <f t="shared" si="5"/>
        <v>192487</v>
      </c>
      <c r="AN11" s="50" t="s">
        <v>34</v>
      </c>
      <c r="AO11" s="50" t="s">
        <v>34</v>
      </c>
      <c r="AP11" s="50" t="s">
        <v>34</v>
      </c>
      <c r="AQ11" s="52"/>
    </row>
    <row r="12" spans="1:43" ht="15.75" customHeight="1" x14ac:dyDescent="0.15">
      <c r="A12" s="50">
        <v>1417</v>
      </c>
      <c r="B12" s="50" t="s">
        <v>192</v>
      </c>
      <c r="C12" s="50" t="s">
        <v>46</v>
      </c>
      <c r="D12" s="51">
        <v>56872</v>
      </c>
      <c r="E12" s="50" t="s">
        <v>34</v>
      </c>
      <c r="F12" s="50" t="s">
        <v>34</v>
      </c>
      <c r="G12" s="50" t="s">
        <v>34</v>
      </c>
      <c r="H12" s="52"/>
      <c r="I12" s="50" t="str">
        <f t="shared" ref="I12:J12" si="6">C12</f>
        <v>No Tdap</v>
      </c>
      <c r="J12" s="51">
        <f t="shared" si="6"/>
        <v>56872</v>
      </c>
      <c r="K12" s="50">
        <v>4024</v>
      </c>
      <c r="L12" s="52"/>
      <c r="M12" s="52"/>
      <c r="N12" s="52"/>
      <c r="O12" s="50" t="str">
        <f t="shared" ref="O12:P12" si="7">I12</f>
        <v>No Tdap</v>
      </c>
      <c r="P12" s="51">
        <f t="shared" si="7"/>
        <v>56872</v>
      </c>
      <c r="Q12" s="50" t="s">
        <v>34</v>
      </c>
      <c r="R12" s="50" t="s">
        <v>34</v>
      </c>
      <c r="S12" s="50" t="s">
        <v>34</v>
      </c>
      <c r="T12" s="52"/>
      <c r="U12" s="50" t="str">
        <f t="shared" ref="U12:V12" si="8">O12</f>
        <v>No Tdap</v>
      </c>
      <c r="V12" s="51">
        <f t="shared" si="8"/>
        <v>56872</v>
      </c>
      <c r="W12" s="50" t="s">
        <v>34</v>
      </c>
      <c r="X12" s="50" t="s">
        <v>34</v>
      </c>
      <c r="Y12" s="52"/>
      <c r="Z12" s="50" t="str">
        <f t="shared" ref="Z12:AA12" si="9">U12</f>
        <v>No Tdap</v>
      </c>
      <c r="AA12" s="51">
        <f t="shared" si="9"/>
        <v>56872</v>
      </c>
      <c r="AB12" s="50" t="s">
        <v>34</v>
      </c>
      <c r="AC12" s="50" t="s">
        <v>34</v>
      </c>
      <c r="AD12" s="50" t="s">
        <v>34</v>
      </c>
      <c r="AE12" s="52"/>
      <c r="AF12" s="50" t="str">
        <f t="shared" ref="AF12:AG12" si="10">Z12</f>
        <v>No Tdap</v>
      </c>
      <c r="AG12" s="51">
        <f t="shared" si="10"/>
        <v>56872</v>
      </c>
      <c r="AH12" s="50" t="s">
        <v>34</v>
      </c>
      <c r="AI12" s="50" t="s">
        <v>34</v>
      </c>
      <c r="AJ12" s="50" t="s">
        <v>34</v>
      </c>
      <c r="AK12" s="52"/>
      <c r="AL12" s="50" t="str">
        <f t="shared" ref="AL12:AM12" si="11">AF12</f>
        <v>No Tdap</v>
      </c>
      <c r="AM12" s="51">
        <f t="shared" si="11"/>
        <v>56872</v>
      </c>
      <c r="AN12" s="50" t="s">
        <v>34</v>
      </c>
      <c r="AO12" s="50" t="s">
        <v>34</v>
      </c>
      <c r="AP12" s="50" t="s">
        <v>34</v>
      </c>
      <c r="AQ12" s="52"/>
    </row>
    <row r="13" spans="1:43" ht="15.75" customHeight="1" x14ac:dyDescent="0.15">
      <c r="A13" s="50">
        <v>3211</v>
      </c>
      <c r="B13" s="50" t="s">
        <v>275</v>
      </c>
      <c r="C13" s="50" t="s">
        <v>33</v>
      </c>
      <c r="D13" s="51">
        <v>8299</v>
      </c>
      <c r="E13" s="52" t="s">
        <v>34</v>
      </c>
      <c r="F13" s="52" t="s">
        <v>34</v>
      </c>
      <c r="G13" s="52" t="s">
        <v>34</v>
      </c>
      <c r="H13" s="52"/>
      <c r="I13" s="50" t="s">
        <v>33</v>
      </c>
      <c r="J13" s="51">
        <v>8299</v>
      </c>
      <c r="K13" s="52">
        <v>117</v>
      </c>
      <c r="L13" s="52" t="s">
        <v>1983</v>
      </c>
      <c r="M13" s="52" t="s">
        <v>1984</v>
      </c>
      <c r="N13" s="52" t="s">
        <v>1985</v>
      </c>
      <c r="O13" s="50" t="s">
        <v>33</v>
      </c>
      <c r="P13" s="51">
        <v>8299</v>
      </c>
      <c r="Q13" s="52">
        <v>186</v>
      </c>
      <c r="R13" s="52" t="s">
        <v>1986</v>
      </c>
      <c r="S13" s="52" t="s">
        <v>1987</v>
      </c>
      <c r="T13" s="52" t="s">
        <v>1985</v>
      </c>
      <c r="U13" s="50" t="s">
        <v>33</v>
      </c>
      <c r="V13" s="51">
        <v>7660</v>
      </c>
      <c r="W13" s="52" t="s">
        <v>1988</v>
      </c>
      <c r="X13" s="52" t="s">
        <v>1989</v>
      </c>
      <c r="Y13" s="52" t="s">
        <v>1990</v>
      </c>
      <c r="Z13" s="50" t="s">
        <v>33</v>
      </c>
      <c r="AA13" s="51">
        <v>8299</v>
      </c>
      <c r="AB13" s="52" t="s">
        <v>34</v>
      </c>
      <c r="AC13" s="52" t="s">
        <v>34</v>
      </c>
      <c r="AD13" s="52" t="s">
        <v>34</v>
      </c>
      <c r="AE13" s="52"/>
      <c r="AF13" s="50" t="s">
        <v>33</v>
      </c>
      <c r="AG13" s="51">
        <v>8299</v>
      </c>
      <c r="AH13" s="52" t="s">
        <v>34</v>
      </c>
      <c r="AI13" s="52" t="s">
        <v>34</v>
      </c>
      <c r="AJ13" s="52" t="s">
        <v>34</v>
      </c>
      <c r="AK13" s="52"/>
      <c r="AL13" s="50" t="s">
        <v>33</v>
      </c>
      <c r="AM13" s="51">
        <v>8299</v>
      </c>
      <c r="AN13" s="52">
        <v>37</v>
      </c>
      <c r="AO13" s="52" t="s">
        <v>1991</v>
      </c>
      <c r="AP13" s="52" t="s">
        <v>1992</v>
      </c>
      <c r="AQ13" s="52" t="s">
        <v>1985</v>
      </c>
    </row>
    <row r="14" spans="1:43" ht="15.75" customHeight="1" x14ac:dyDescent="0.15">
      <c r="A14" s="50">
        <v>3211</v>
      </c>
      <c r="B14" s="50" t="s">
        <v>275</v>
      </c>
      <c r="C14" s="50" t="s">
        <v>46</v>
      </c>
      <c r="D14" s="51">
        <v>61090</v>
      </c>
      <c r="E14" s="52" t="s">
        <v>34</v>
      </c>
      <c r="F14" s="52" t="s">
        <v>34</v>
      </c>
      <c r="G14" s="52" t="s">
        <v>34</v>
      </c>
      <c r="H14" s="52"/>
      <c r="I14" s="50" t="s">
        <v>46</v>
      </c>
      <c r="J14" s="51">
        <v>61090</v>
      </c>
      <c r="K14" s="52">
        <v>1204</v>
      </c>
      <c r="L14" s="52"/>
      <c r="M14" s="52"/>
      <c r="N14" s="52"/>
      <c r="O14" s="50" t="s">
        <v>46</v>
      </c>
      <c r="P14" s="51">
        <v>61090</v>
      </c>
      <c r="Q14" s="52">
        <v>1800</v>
      </c>
      <c r="R14" s="52"/>
      <c r="S14" s="52"/>
      <c r="T14" s="52"/>
      <c r="U14" s="50" t="s">
        <v>46</v>
      </c>
      <c r="V14" s="51">
        <v>53810</v>
      </c>
      <c r="W14" s="52" t="s">
        <v>1993</v>
      </c>
      <c r="X14" s="52"/>
      <c r="Y14" s="52"/>
      <c r="Z14" s="50" t="s">
        <v>46</v>
      </c>
      <c r="AA14" s="51">
        <v>61090</v>
      </c>
      <c r="AB14" s="52" t="s">
        <v>34</v>
      </c>
      <c r="AC14" s="52" t="s">
        <v>34</v>
      </c>
      <c r="AD14" s="52" t="s">
        <v>34</v>
      </c>
      <c r="AE14" s="52"/>
      <c r="AF14" s="50" t="s">
        <v>46</v>
      </c>
      <c r="AG14" s="51">
        <v>61090</v>
      </c>
      <c r="AH14" s="52" t="s">
        <v>34</v>
      </c>
      <c r="AI14" s="52" t="s">
        <v>34</v>
      </c>
      <c r="AJ14" s="52" t="s">
        <v>34</v>
      </c>
      <c r="AK14" s="52"/>
      <c r="AL14" s="50" t="s">
        <v>46</v>
      </c>
      <c r="AM14" s="51">
        <v>61090</v>
      </c>
      <c r="AN14" s="52">
        <v>339</v>
      </c>
      <c r="AO14" s="52"/>
      <c r="AP14" s="52"/>
      <c r="AQ14" s="52"/>
    </row>
    <row r="15" spans="1:43" ht="15.75" customHeight="1" x14ac:dyDescent="0.15">
      <c r="A15" s="50">
        <v>4316</v>
      </c>
      <c r="B15" s="50" t="s">
        <v>332</v>
      </c>
      <c r="C15" s="50" t="s">
        <v>33</v>
      </c>
      <c r="D15" s="50">
        <v>49</v>
      </c>
      <c r="E15" s="50">
        <v>0</v>
      </c>
      <c r="F15" s="50" t="s">
        <v>1994</v>
      </c>
      <c r="G15" s="50" t="s">
        <v>34</v>
      </c>
      <c r="H15" s="52" t="s">
        <v>1995</v>
      </c>
      <c r="I15" s="50" t="s">
        <v>33</v>
      </c>
      <c r="J15" s="50">
        <v>49</v>
      </c>
      <c r="K15" s="50" t="s">
        <v>34</v>
      </c>
      <c r="L15" s="50" t="s">
        <v>34</v>
      </c>
      <c r="M15" s="50" t="s">
        <v>34</v>
      </c>
      <c r="N15" s="52"/>
      <c r="O15" s="50" t="s">
        <v>33</v>
      </c>
      <c r="P15" s="50">
        <v>49</v>
      </c>
      <c r="Q15" s="50" t="s">
        <v>1996</v>
      </c>
      <c r="R15" s="50" t="s">
        <v>1997</v>
      </c>
      <c r="S15" s="50" t="s">
        <v>1998</v>
      </c>
      <c r="T15" s="52" t="s">
        <v>1995</v>
      </c>
      <c r="U15" s="50" t="s">
        <v>33</v>
      </c>
      <c r="V15" s="50">
        <v>49</v>
      </c>
      <c r="W15" s="50" t="s">
        <v>34</v>
      </c>
      <c r="X15" s="50" t="s">
        <v>34</v>
      </c>
      <c r="Y15" s="52"/>
      <c r="Z15" s="50" t="s">
        <v>33</v>
      </c>
      <c r="AA15" s="50">
        <v>49</v>
      </c>
      <c r="AB15" s="50" t="s">
        <v>1999</v>
      </c>
      <c r="AC15" s="50" t="s">
        <v>2000</v>
      </c>
      <c r="AD15" s="50" t="s">
        <v>1281</v>
      </c>
      <c r="AE15" s="52" t="s">
        <v>2001</v>
      </c>
      <c r="AF15" s="50" t="s">
        <v>33</v>
      </c>
      <c r="AG15" s="50">
        <v>49</v>
      </c>
      <c r="AH15" s="50" t="s">
        <v>34</v>
      </c>
      <c r="AI15" s="50" t="s">
        <v>34</v>
      </c>
      <c r="AJ15" s="50" t="s">
        <v>34</v>
      </c>
      <c r="AK15" s="52"/>
      <c r="AL15" s="50" t="s">
        <v>33</v>
      </c>
      <c r="AM15" s="50">
        <v>49</v>
      </c>
      <c r="AN15" s="50" t="s">
        <v>34</v>
      </c>
      <c r="AO15" s="50" t="s">
        <v>34</v>
      </c>
      <c r="AP15" s="50" t="s">
        <v>34</v>
      </c>
      <c r="AQ15" s="52"/>
    </row>
    <row r="16" spans="1:43" ht="15.75" customHeight="1" x14ac:dyDescent="0.15">
      <c r="A16" s="50">
        <v>4316</v>
      </c>
      <c r="B16" s="50" t="s">
        <v>332</v>
      </c>
      <c r="C16" s="50" t="s">
        <v>46</v>
      </c>
      <c r="D16" s="50">
        <v>371</v>
      </c>
      <c r="E16" s="50">
        <v>6</v>
      </c>
      <c r="F16" s="50" t="s">
        <v>34</v>
      </c>
      <c r="G16" s="50" t="s">
        <v>34</v>
      </c>
      <c r="H16" s="52"/>
      <c r="I16" s="50" t="s">
        <v>46</v>
      </c>
      <c r="J16" s="50">
        <v>371</v>
      </c>
      <c r="K16" s="50" t="s">
        <v>34</v>
      </c>
      <c r="L16" s="50" t="s">
        <v>34</v>
      </c>
      <c r="M16" s="50" t="s">
        <v>34</v>
      </c>
      <c r="N16" s="52"/>
      <c r="O16" s="50" t="s">
        <v>46</v>
      </c>
      <c r="P16" s="50">
        <v>371</v>
      </c>
      <c r="Q16" s="50" t="s">
        <v>2002</v>
      </c>
      <c r="R16" s="50" t="s">
        <v>34</v>
      </c>
      <c r="S16" s="50" t="s">
        <v>34</v>
      </c>
      <c r="T16" s="52"/>
      <c r="U16" s="50" t="s">
        <v>46</v>
      </c>
      <c r="V16" s="50">
        <v>371</v>
      </c>
      <c r="W16" s="50" t="s">
        <v>34</v>
      </c>
      <c r="X16" s="50" t="s">
        <v>34</v>
      </c>
      <c r="Y16" s="52"/>
      <c r="Z16" s="50" t="s">
        <v>46</v>
      </c>
      <c r="AA16" s="50">
        <v>371</v>
      </c>
      <c r="AB16" s="50" t="s">
        <v>2003</v>
      </c>
      <c r="AC16" s="50" t="s">
        <v>34</v>
      </c>
      <c r="AD16" s="50" t="s">
        <v>34</v>
      </c>
      <c r="AE16" s="52"/>
      <c r="AF16" s="50" t="s">
        <v>46</v>
      </c>
      <c r="AG16" s="50">
        <v>371</v>
      </c>
      <c r="AH16" s="50" t="s">
        <v>34</v>
      </c>
      <c r="AI16" s="50" t="s">
        <v>34</v>
      </c>
      <c r="AJ16" s="50" t="s">
        <v>34</v>
      </c>
      <c r="AK16" s="52"/>
      <c r="AL16" s="50" t="s">
        <v>46</v>
      </c>
      <c r="AM16" s="50">
        <v>371</v>
      </c>
      <c r="AN16" s="50" t="s">
        <v>34</v>
      </c>
      <c r="AO16" s="50" t="s">
        <v>34</v>
      </c>
      <c r="AP16" s="50" t="s">
        <v>34</v>
      </c>
      <c r="AQ16" s="52"/>
    </row>
    <row r="17" spans="1:43" ht="15.75" customHeight="1" x14ac:dyDescent="0.15">
      <c r="A17" s="52">
        <v>374</v>
      </c>
      <c r="B17" s="52" t="s">
        <v>378</v>
      </c>
      <c r="C17" s="52" t="s">
        <v>33</v>
      </c>
      <c r="D17" s="52" t="s">
        <v>34</v>
      </c>
      <c r="E17" s="50" t="s">
        <v>34</v>
      </c>
      <c r="F17" s="50" t="s">
        <v>34</v>
      </c>
      <c r="G17" s="50" t="s">
        <v>34</v>
      </c>
      <c r="H17" s="52"/>
      <c r="I17" s="52" t="s">
        <v>33</v>
      </c>
      <c r="J17" s="52" t="s">
        <v>34</v>
      </c>
      <c r="K17" s="50" t="s">
        <v>34</v>
      </c>
      <c r="L17" s="50" t="s">
        <v>34</v>
      </c>
      <c r="M17" s="50" t="s">
        <v>34</v>
      </c>
      <c r="N17" s="52"/>
      <c r="O17" s="52" t="s">
        <v>33</v>
      </c>
      <c r="P17" s="52" t="s">
        <v>34</v>
      </c>
      <c r="Q17" s="52" t="s">
        <v>34</v>
      </c>
      <c r="R17" s="52" t="s">
        <v>34</v>
      </c>
      <c r="S17" s="52" t="s">
        <v>34</v>
      </c>
      <c r="T17" s="52"/>
      <c r="U17" s="52" t="s">
        <v>33</v>
      </c>
      <c r="V17" s="52" t="s">
        <v>34</v>
      </c>
      <c r="W17" s="50" t="s">
        <v>34</v>
      </c>
      <c r="X17" s="50" t="s">
        <v>34</v>
      </c>
      <c r="Y17" s="52"/>
      <c r="Z17" s="52" t="s">
        <v>33</v>
      </c>
      <c r="AA17" s="52" t="s">
        <v>34</v>
      </c>
      <c r="AB17" s="50" t="s">
        <v>34</v>
      </c>
      <c r="AC17" s="50" t="s">
        <v>34</v>
      </c>
      <c r="AD17" s="50" t="s">
        <v>34</v>
      </c>
      <c r="AE17" s="52"/>
      <c r="AF17" s="52" t="s">
        <v>33</v>
      </c>
      <c r="AG17" s="52">
        <v>39077</v>
      </c>
      <c r="AH17" s="52">
        <v>569</v>
      </c>
      <c r="AI17" s="52" t="s">
        <v>2004</v>
      </c>
      <c r="AJ17" s="52" t="s">
        <v>2005</v>
      </c>
      <c r="AK17" s="52" t="s">
        <v>2006</v>
      </c>
      <c r="AL17" s="52" t="s">
        <v>33</v>
      </c>
      <c r="AM17" s="52" t="s">
        <v>34</v>
      </c>
      <c r="AN17" s="52"/>
      <c r="AO17" s="50" t="s">
        <v>34</v>
      </c>
      <c r="AP17" s="50" t="s">
        <v>34</v>
      </c>
      <c r="AQ17" s="52"/>
    </row>
    <row r="18" spans="1:43" ht="15.75" customHeight="1" x14ac:dyDescent="0.15">
      <c r="A18" s="52">
        <v>374</v>
      </c>
      <c r="B18" s="52" t="s">
        <v>378</v>
      </c>
      <c r="C18" s="52" t="s">
        <v>46</v>
      </c>
      <c r="D18" s="52" t="s">
        <v>34</v>
      </c>
      <c r="E18" s="50" t="s">
        <v>34</v>
      </c>
      <c r="F18" s="50" t="s">
        <v>34</v>
      </c>
      <c r="G18" s="50" t="s">
        <v>34</v>
      </c>
      <c r="H18" s="52"/>
      <c r="I18" s="52" t="s">
        <v>46</v>
      </c>
      <c r="J18" s="52" t="s">
        <v>34</v>
      </c>
      <c r="K18" s="50" t="s">
        <v>34</v>
      </c>
      <c r="L18" s="50" t="s">
        <v>34</v>
      </c>
      <c r="M18" s="50" t="s">
        <v>34</v>
      </c>
      <c r="N18" s="52"/>
      <c r="O18" s="52" t="s">
        <v>46</v>
      </c>
      <c r="P18" s="52" t="s">
        <v>34</v>
      </c>
      <c r="Q18" s="52" t="s">
        <v>34</v>
      </c>
      <c r="R18" s="52" t="s">
        <v>34</v>
      </c>
      <c r="S18" s="52" t="s">
        <v>34</v>
      </c>
      <c r="T18" s="52"/>
      <c r="U18" s="52" t="s">
        <v>46</v>
      </c>
      <c r="V18" s="52" t="s">
        <v>34</v>
      </c>
      <c r="W18" s="50" t="s">
        <v>34</v>
      </c>
      <c r="X18" s="50" t="s">
        <v>34</v>
      </c>
      <c r="Y18" s="52"/>
      <c r="Z18" s="52" t="s">
        <v>46</v>
      </c>
      <c r="AA18" s="52" t="s">
        <v>34</v>
      </c>
      <c r="AB18" s="50" t="s">
        <v>34</v>
      </c>
      <c r="AC18" s="50" t="s">
        <v>34</v>
      </c>
      <c r="AD18" s="50" t="s">
        <v>34</v>
      </c>
      <c r="AE18" s="52"/>
      <c r="AF18" s="52" t="s">
        <v>46</v>
      </c>
      <c r="AG18" s="52">
        <v>42916</v>
      </c>
      <c r="AH18" s="52">
        <v>772</v>
      </c>
      <c r="AI18" s="52"/>
      <c r="AJ18" s="52"/>
      <c r="AK18" s="52"/>
      <c r="AL18" s="52" t="s">
        <v>46</v>
      </c>
      <c r="AM18" s="52" t="s">
        <v>34</v>
      </c>
      <c r="AN18" s="52"/>
      <c r="AO18" s="50" t="s">
        <v>34</v>
      </c>
      <c r="AP18" s="50" t="s">
        <v>34</v>
      </c>
      <c r="AQ18" s="52"/>
    </row>
    <row r="19" spans="1:43" ht="24.75" customHeight="1" x14ac:dyDescent="0.15">
      <c r="A19" s="50">
        <v>2045</v>
      </c>
      <c r="B19" s="54" t="s">
        <v>581</v>
      </c>
      <c r="C19" s="50" t="s">
        <v>593</v>
      </c>
      <c r="D19" s="51">
        <v>50816</v>
      </c>
      <c r="E19" s="50" t="s">
        <v>34</v>
      </c>
      <c r="F19" s="50" t="s">
        <v>34</v>
      </c>
      <c r="G19" s="50" t="s">
        <v>34</v>
      </c>
      <c r="H19" s="52"/>
      <c r="I19" s="50" t="s">
        <v>593</v>
      </c>
      <c r="J19" s="51">
        <v>50816</v>
      </c>
      <c r="K19" s="50">
        <v>927</v>
      </c>
      <c r="L19" s="50" t="s">
        <v>2007</v>
      </c>
      <c r="M19" s="50" t="s">
        <v>2008</v>
      </c>
      <c r="N19" s="52"/>
      <c r="O19" s="50" t="s">
        <v>593</v>
      </c>
      <c r="P19" s="51">
        <v>50816</v>
      </c>
      <c r="Q19" s="50">
        <v>1580</v>
      </c>
      <c r="R19" s="50" t="s">
        <v>2009</v>
      </c>
      <c r="S19" s="50" t="s">
        <v>2010</v>
      </c>
      <c r="T19" s="52"/>
      <c r="U19" s="50" t="s">
        <v>593</v>
      </c>
      <c r="V19" s="51">
        <v>50816</v>
      </c>
      <c r="W19" s="50" t="s">
        <v>34</v>
      </c>
      <c r="X19" s="50" t="s">
        <v>34</v>
      </c>
      <c r="Y19" s="52"/>
      <c r="Z19" s="50" t="s">
        <v>593</v>
      </c>
      <c r="AA19" s="51">
        <v>50816</v>
      </c>
      <c r="AB19" s="50" t="s">
        <v>34</v>
      </c>
      <c r="AC19" s="50" t="s">
        <v>34</v>
      </c>
      <c r="AD19" s="50" t="s">
        <v>34</v>
      </c>
      <c r="AE19" s="52"/>
      <c r="AF19" s="50" t="s">
        <v>593</v>
      </c>
      <c r="AG19" s="51">
        <v>50816</v>
      </c>
      <c r="AH19" s="50" t="s">
        <v>34</v>
      </c>
      <c r="AI19" s="50" t="s">
        <v>34</v>
      </c>
      <c r="AJ19" s="50" t="s">
        <v>34</v>
      </c>
      <c r="AK19" s="52"/>
      <c r="AL19" s="50" t="s">
        <v>593</v>
      </c>
      <c r="AM19" s="51">
        <v>50816</v>
      </c>
      <c r="AN19" s="50" t="s">
        <v>34</v>
      </c>
      <c r="AO19" s="50" t="s">
        <v>34</v>
      </c>
      <c r="AP19" s="50" t="s">
        <v>34</v>
      </c>
      <c r="AQ19" s="52"/>
    </row>
    <row r="20" spans="1:43" ht="24.75" customHeight="1" x14ac:dyDescent="0.15">
      <c r="A20" s="50">
        <v>2045</v>
      </c>
      <c r="B20" s="54" t="s">
        <v>581</v>
      </c>
      <c r="C20" s="50" t="s">
        <v>603</v>
      </c>
      <c r="D20" s="51">
        <v>50886</v>
      </c>
      <c r="E20" s="50" t="s">
        <v>34</v>
      </c>
      <c r="F20" s="50" t="s">
        <v>34</v>
      </c>
      <c r="G20" s="50" t="s">
        <v>34</v>
      </c>
      <c r="H20" s="52"/>
      <c r="I20" s="50" t="s">
        <v>603</v>
      </c>
      <c r="J20" s="51">
        <v>50886</v>
      </c>
      <c r="K20" s="50">
        <v>1031</v>
      </c>
      <c r="L20" s="50" t="s">
        <v>34</v>
      </c>
      <c r="M20" s="50" t="s">
        <v>34</v>
      </c>
      <c r="N20" s="52"/>
      <c r="O20" s="50" t="s">
        <v>603</v>
      </c>
      <c r="P20" s="51">
        <v>50886</v>
      </c>
      <c r="Q20" s="50">
        <v>1725</v>
      </c>
      <c r="R20" s="50" t="s">
        <v>34</v>
      </c>
      <c r="S20" s="50" t="s">
        <v>34</v>
      </c>
      <c r="T20" s="52"/>
      <c r="U20" s="50" t="s">
        <v>603</v>
      </c>
      <c r="V20" s="51">
        <v>50886</v>
      </c>
      <c r="W20" s="50" t="s">
        <v>34</v>
      </c>
      <c r="X20" s="50" t="s">
        <v>34</v>
      </c>
      <c r="Y20" s="52"/>
      <c r="Z20" s="50" t="s">
        <v>603</v>
      </c>
      <c r="AA20" s="51">
        <v>50886</v>
      </c>
      <c r="AB20" s="50" t="s">
        <v>34</v>
      </c>
      <c r="AC20" s="50" t="s">
        <v>34</v>
      </c>
      <c r="AD20" s="50" t="s">
        <v>34</v>
      </c>
      <c r="AE20" s="52"/>
      <c r="AF20" s="50" t="s">
        <v>603</v>
      </c>
      <c r="AG20" s="51">
        <v>50886</v>
      </c>
      <c r="AH20" s="50" t="s">
        <v>34</v>
      </c>
      <c r="AI20" s="50" t="s">
        <v>34</v>
      </c>
      <c r="AJ20" s="50" t="s">
        <v>34</v>
      </c>
      <c r="AK20" s="52"/>
      <c r="AL20" s="50" t="s">
        <v>603</v>
      </c>
      <c r="AM20" s="51">
        <v>50886</v>
      </c>
      <c r="AN20" s="50" t="s">
        <v>34</v>
      </c>
      <c r="AO20" s="50" t="s">
        <v>34</v>
      </c>
      <c r="AP20" s="50" t="s">
        <v>34</v>
      </c>
      <c r="AQ20" s="52"/>
    </row>
    <row r="21" spans="1:43" ht="24.75" customHeight="1" x14ac:dyDescent="0.15">
      <c r="A21" s="50">
        <v>2045</v>
      </c>
      <c r="B21" s="54" t="s">
        <v>581</v>
      </c>
      <c r="C21" s="50" t="s">
        <v>609</v>
      </c>
      <c r="D21" s="51">
        <v>108350</v>
      </c>
      <c r="E21" s="50">
        <v>56</v>
      </c>
      <c r="F21" s="50" t="s">
        <v>2011</v>
      </c>
      <c r="G21" s="50" t="s">
        <v>2012</v>
      </c>
      <c r="H21" s="55" t="s">
        <v>2013</v>
      </c>
      <c r="I21" s="50" t="s">
        <v>609</v>
      </c>
      <c r="J21" s="51">
        <v>108350</v>
      </c>
      <c r="K21" s="50" t="s">
        <v>34</v>
      </c>
      <c r="L21" s="50" t="s">
        <v>34</v>
      </c>
      <c r="M21" s="50" t="s">
        <v>34</v>
      </c>
      <c r="N21" s="52"/>
      <c r="O21" s="50" t="s">
        <v>609</v>
      </c>
      <c r="P21" s="51">
        <v>108350</v>
      </c>
      <c r="Q21" s="50" t="s">
        <v>34</v>
      </c>
      <c r="R21" s="50" t="s">
        <v>34</v>
      </c>
      <c r="S21" s="50" t="s">
        <v>34</v>
      </c>
      <c r="T21" s="52"/>
      <c r="U21" s="50" t="s">
        <v>609</v>
      </c>
      <c r="V21" s="51">
        <v>108350</v>
      </c>
      <c r="W21" s="50" t="s">
        <v>34</v>
      </c>
      <c r="X21" s="50" t="s">
        <v>34</v>
      </c>
      <c r="Y21" s="52"/>
      <c r="Z21" s="50" t="s">
        <v>609</v>
      </c>
      <c r="AA21" s="51">
        <v>108350</v>
      </c>
      <c r="AB21" s="50">
        <v>1579</v>
      </c>
      <c r="AC21" s="50" t="s">
        <v>2014</v>
      </c>
      <c r="AD21" s="50" t="s">
        <v>2015</v>
      </c>
      <c r="AE21" s="52"/>
      <c r="AF21" s="50" t="s">
        <v>609</v>
      </c>
      <c r="AG21" s="51">
        <v>108350</v>
      </c>
      <c r="AH21" s="50">
        <v>6640</v>
      </c>
      <c r="AI21" s="50" t="s">
        <v>2016</v>
      </c>
      <c r="AJ21" s="50" t="s">
        <v>2017</v>
      </c>
      <c r="AK21" s="52"/>
      <c r="AL21" s="50" t="s">
        <v>609</v>
      </c>
      <c r="AM21" s="51">
        <v>108350</v>
      </c>
      <c r="AN21" s="51">
        <v>3469</v>
      </c>
      <c r="AO21" s="50" t="s">
        <v>2018</v>
      </c>
      <c r="AP21" s="50" t="s">
        <v>34</v>
      </c>
      <c r="AQ21" s="52"/>
    </row>
    <row r="22" spans="1:43" ht="27" customHeight="1" x14ac:dyDescent="0.15">
      <c r="A22" s="50">
        <v>2045</v>
      </c>
      <c r="B22" s="54" t="s">
        <v>581</v>
      </c>
      <c r="C22" s="50" t="s">
        <v>612</v>
      </c>
      <c r="D22" s="51">
        <v>107624</v>
      </c>
      <c r="E22" s="50">
        <v>173</v>
      </c>
      <c r="F22" s="50" t="s">
        <v>34</v>
      </c>
      <c r="G22" s="50" t="s">
        <v>34</v>
      </c>
      <c r="H22" s="52"/>
      <c r="I22" s="50" t="s">
        <v>612</v>
      </c>
      <c r="J22" s="51">
        <v>107624</v>
      </c>
      <c r="K22" s="50" t="s">
        <v>34</v>
      </c>
      <c r="L22" s="50" t="s">
        <v>34</v>
      </c>
      <c r="M22" s="50" t="s">
        <v>34</v>
      </c>
      <c r="N22" s="52"/>
      <c r="O22" s="50" t="s">
        <v>612</v>
      </c>
      <c r="P22" s="51">
        <v>107624</v>
      </c>
      <c r="Q22" s="50" t="s">
        <v>34</v>
      </c>
      <c r="R22" s="50" t="s">
        <v>34</v>
      </c>
      <c r="S22" s="50" t="s">
        <v>34</v>
      </c>
      <c r="T22" s="52"/>
      <c r="U22" s="50" t="s">
        <v>612</v>
      </c>
      <c r="V22" s="51">
        <v>107624</v>
      </c>
      <c r="W22" s="50" t="s">
        <v>34</v>
      </c>
      <c r="X22" s="50" t="s">
        <v>34</v>
      </c>
      <c r="Y22" s="52"/>
      <c r="Z22" s="50" t="s">
        <v>612</v>
      </c>
      <c r="AA22" s="51">
        <v>107624</v>
      </c>
      <c r="AB22" s="50">
        <v>2817</v>
      </c>
      <c r="AC22" s="50" t="s">
        <v>34</v>
      </c>
      <c r="AD22" s="50" t="s">
        <v>34</v>
      </c>
      <c r="AE22" s="52"/>
      <c r="AF22" s="50" t="s">
        <v>612</v>
      </c>
      <c r="AG22" s="51">
        <v>107624</v>
      </c>
      <c r="AH22" s="50">
        <v>7284</v>
      </c>
      <c r="AI22" s="50" t="s">
        <v>34</v>
      </c>
      <c r="AJ22" s="50" t="s">
        <v>34</v>
      </c>
      <c r="AK22" s="52"/>
      <c r="AL22" s="50" t="s">
        <v>612</v>
      </c>
      <c r="AM22" s="51">
        <v>107624</v>
      </c>
      <c r="AN22" s="51">
        <v>4056</v>
      </c>
      <c r="AO22" s="50" t="s">
        <v>34</v>
      </c>
      <c r="AP22" s="50" t="s">
        <v>34</v>
      </c>
      <c r="AQ22" s="52"/>
    </row>
    <row r="23" spans="1:43" ht="70.5" customHeight="1" x14ac:dyDescent="0.15">
      <c r="A23" s="50">
        <v>375</v>
      </c>
      <c r="B23" s="50" t="s">
        <v>634</v>
      </c>
      <c r="C23" s="52" t="s">
        <v>33</v>
      </c>
      <c r="D23" s="50">
        <v>41781</v>
      </c>
      <c r="E23" s="52" t="s">
        <v>34</v>
      </c>
      <c r="F23" s="52" t="s">
        <v>34</v>
      </c>
      <c r="G23" s="52" t="s">
        <v>34</v>
      </c>
      <c r="H23" s="52"/>
      <c r="I23" s="52" t="s">
        <v>33</v>
      </c>
      <c r="J23" s="50">
        <v>41781</v>
      </c>
      <c r="K23" s="52" t="s">
        <v>34</v>
      </c>
      <c r="L23" s="52" t="s">
        <v>34</v>
      </c>
      <c r="M23" s="52" t="s">
        <v>34</v>
      </c>
      <c r="N23" s="52"/>
      <c r="O23" s="52" t="s">
        <v>33</v>
      </c>
      <c r="P23" s="50">
        <v>41781</v>
      </c>
      <c r="Q23" s="52" t="s">
        <v>34</v>
      </c>
      <c r="R23" s="52" t="s">
        <v>34</v>
      </c>
      <c r="S23" s="52" t="s">
        <v>34</v>
      </c>
      <c r="T23" s="52"/>
      <c r="U23" s="52" t="s">
        <v>33</v>
      </c>
      <c r="V23" s="50">
        <v>41781</v>
      </c>
      <c r="W23" s="52" t="s">
        <v>34</v>
      </c>
      <c r="X23" s="52" t="s">
        <v>34</v>
      </c>
      <c r="Y23" s="52"/>
      <c r="Z23" s="52" t="s">
        <v>33</v>
      </c>
      <c r="AA23" s="50">
        <v>41781</v>
      </c>
      <c r="AB23" s="52" t="s">
        <v>34</v>
      </c>
      <c r="AC23" s="52" t="s">
        <v>34</v>
      </c>
      <c r="AD23" s="52" t="s">
        <v>34</v>
      </c>
      <c r="AE23" s="52"/>
      <c r="AF23" s="50" t="s">
        <v>33</v>
      </c>
      <c r="AG23" s="50">
        <v>41781</v>
      </c>
      <c r="AH23" s="50">
        <v>351</v>
      </c>
      <c r="AI23" s="50" t="s">
        <v>2019</v>
      </c>
      <c r="AJ23" s="50" t="s">
        <v>2020</v>
      </c>
      <c r="AK23" s="52" t="s">
        <v>2021</v>
      </c>
      <c r="AL23" s="52" t="s">
        <v>33</v>
      </c>
      <c r="AM23" s="50">
        <v>41781</v>
      </c>
      <c r="AN23" s="52" t="s">
        <v>34</v>
      </c>
      <c r="AO23" s="52" t="s">
        <v>34</v>
      </c>
      <c r="AP23" s="52" t="s">
        <v>34</v>
      </c>
      <c r="AQ23" s="52"/>
    </row>
    <row r="24" spans="1:43" ht="15.75" customHeight="1" x14ac:dyDescent="0.15">
      <c r="A24" s="50">
        <v>375</v>
      </c>
      <c r="B24" s="50" t="s">
        <v>634</v>
      </c>
      <c r="C24" s="52" t="s">
        <v>46</v>
      </c>
      <c r="D24" s="50">
        <v>43826</v>
      </c>
      <c r="E24" s="52" t="s">
        <v>34</v>
      </c>
      <c r="F24" s="52" t="s">
        <v>34</v>
      </c>
      <c r="G24" s="52" t="s">
        <v>34</v>
      </c>
      <c r="H24" s="52"/>
      <c r="I24" s="52" t="s">
        <v>46</v>
      </c>
      <c r="J24" s="50">
        <v>43826</v>
      </c>
      <c r="K24" s="52" t="s">
        <v>34</v>
      </c>
      <c r="L24" s="52" t="s">
        <v>34</v>
      </c>
      <c r="M24" s="52" t="s">
        <v>34</v>
      </c>
      <c r="N24" s="52"/>
      <c r="O24" s="52" t="s">
        <v>46</v>
      </c>
      <c r="P24" s="50">
        <v>43826</v>
      </c>
      <c r="Q24" s="52" t="s">
        <v>34</v>
      </c>
      <c r="R24" s="52" t="s">
        <v>34</v>
      </c>
      <c r="S24" s="52" t="s">
        <v>34</v>
      </c>
      <c r="T24" s="52"/>
      <c r="U24" s="52" t="s">
        <v>46</v>
      </c>
      <c r="V24" s="50">
        <v>43826</v>
      </c>
      <c r="W24" s="52" t="s">
        <v>34</v>
      </c>
      <c r="X24" s="52" t="s">
        <v>34</v>
      </c>
      <c r="Y24" s="52"/>
      <c r="Z24" s="52" t="s">
        <v>46</v>
      </c>
      <c r="AA24" s="50">
        <v>43826</v>
      </c>
      <c r="AB24" s="52" t="s">
        <v>34</v>
      </c>
      <c r="AC24" s="52" t="s">
        <v>34</v>
      </c>
      <c r="AD24" s="52" t="s">
        <v>34</v>
      </c>
      <c r="AE24" s="52"/>
      <c r="AF24" s="50" t="s">
        <v>46</v>
      </c>
      <c r="AG24" s="53">
        <v>43826</v>
      </c>
      <c r="AH24" s="50">
        <v>531</v>
      </c>
      <c r="AI24" s="52"/>
      <c r="AJ24" s="52"/>
      <c r="AK24" s="52"/>
      <c r="AL24" s="52" t="s">
        <v>46</v>
      </c>
      <c r="AM24" s="50">
        <v>43826</v>
      </c>
      <c r="AN24" s="52" t="s">
        <v>34</v>
      </c>
      <c r="AO24" s="52" t="s">
        <v>34</v>
      </c>
      <c r="AP24" s="52" t="s">
        <v>34</v>
      </c>
      <c r="AQ24" s="52"/>
    </row>
    <row r="25" spans="1:43" ht="15.75" customHeight="1" x14ac:dyDescent="0.15">
      <c r="A25" s="50">
        <v>3201</v>
      </c>
      <c r="B25" s="50" t="s">
        <v>614</v>
      </c>
      <c r="C25" s="50" t="s">
        <v>33</v>
      </c>
      <c r="D25" s="50">
        <v>341</v>
      </c>
      <c r="E25" s="50">
        <v>0</v>
      </c>
      <c r="F25" s="50" t="s">
        <v>34</v>
      </c>
      <c r="G25" s="50" t="s">
        <v>34</v>
      </c>
      <c r="H25" s="52" t="s">
        <v>2022</v>
      </c>
      <c r="I25" s="50" t="s">
        <v>33</v>
      </c>
      <c r="J25" s="50">
        <v>341</v>
      </c>
      <c r="K25" s="52" t="s">
        <v>2023</v>
      </c>
      <c r="L25" s="52" t="s">
        <v>34</v>
      </c>
      <c r="M25" s="52" t="s">
        <v>34</v>
      </c>
      <c r="N25" s="52"/>
      <c r="O25" s="50" t="s">
        <v>33</v>
      </c>
      <c r="P25" s="50">
        <v>341</v>
      </c>
      <c r="Q25" s="50" t="s">
        <v>34</v>
      </c>
      <c r="R25" s="50" t="s">
        <v>34</v>
      </c>
      <c r="S25" s="50" t="s">
        <v>34</v>
      </c>
      <c r="T25" s="52"/>
      <c r="U25" s="50" t="s">
        <v>33</v>
      </c>
      <c r="V25" s="50">
        <v>341</v>
      </c>
      <c r="W25" s="52" t="s">
        <v>2024</v>
      </c>
      <c r="X25" s="52" t="s">
        <v>2025</v>
      </c>
      <c r="Y25" s="52" t="s">
        <v>1702</v>
      </c>
      <c r="Z25" s="50" t="s">
        <v>33</v>
      </c>
      <c r="AA25" s="50">
        <v>341</v>
      </c>
      <c r="AB25" s="50" t="s">
        <v>34</v>
      </c>
      <c r="AC25" s="50" t="s">
        <v>34</v>
      </c>
      <c r="AD25" s="50" t="s">
        <v>34</v>
      </c>
      <c r="AE25" s="52"/>
      <c r="AF25" s="50" t="s">
        <v>33</v>
      </c>
      <c r="AG25" s="50">
        <v>341</v>
      </c>
      <c r="AH25" s="52">
        <v>9</v>
      </c>
      <c r="AI25" s="52" t="s">
        <v>2026</v>
      </c>
      <c r="AJ25" s="52" t="s">
        <v>2027</v>
      </c>
      <c r="AK25" s="52" t="s">
        <v>1702</v>
      </c>
      <c r="AL25" s="50" t="s">
        <v>33</v>
      </c>
      <c r="AM25" s="50">
        <v>341</v>
      </c>
      <c r="AN25" s="52">
        <v>0</v>
      </c>
      <c r="AO25" s="52" t="s">
        <v>34</v>
      </c>
      <c r="AP25" s="52" t="s">
        <v>2028</v>
      </c>
      <c r="AQ25" s="52" t="s">
        <v>1822</v>
      </c>
    </row>
    <row r="26" spans="1:43" ht="15.75" customHeight="1" x14ac:dyDescent="0.15">
      <c r="A26" s="50">
        <v>3201</v>
      </c>
      <c r="B26" s="50" t="s">
        <v>614</v>
      </c>
      <c r="C26" s="50" t="s">
        <v>46</v>
      </c>
      <c r="D26" s="50">
        <v>346</v>
      </c>
      <c r="E26" s="50">
        <v>0</v>
      </c>
      <c r="F26" s="50" t="s">
        <v>34</v>
      </c>
      <c r="G26" s="50" t="s">
        <v>34</v>
      </c>
      <c r="H26" s="52"/>
      <c r="I26" s="50" t="s">
        <v>46</v>
      </c>
      <c r="J26" s="50">
        <v>346</v>
      </c>
      <c r="K26" s="52" t="s">
        <v>2029</v>
      </c>
      <c r="L26" s="52" t="s">
        <v>34</v>
      </c>
      <c r="M26" s="52" t="s">
        <v>34</v>
      </c>
      <c r="N26" s="52"/>
      <c r="O26" s="50" t="s">
        <v>46</v>
      </c>
      <c r="P26" s="50">
        <v>346</v>
      </c>
      <c r="Q26" s="50" t="s">
        <v>34</v>
      </c>
      <c r="R26" s="50" t="s">
        <v>34</v>
      </c>
      <c r="S26" s="50" t="s">
        <v>34</v>
      </c>
      <c r="T26" s="52"/>
      <c r="U26" s="50" t="s">
        <v>46</v>
      </c>
      <c r="V26" s="50">
        <v>346</v>
      </c>
      <c r="W26" s="52" t="s">
        <v>2030</v>
      </c>
      <c r="X26" s="52"/>
      <c r="Y26" s="52"/>
      <c r="Z26" s="50" t="s">
        <v>46</v>
      </c>
      <c r="AA26" s="50">
        <v>346</v>
      </c>
      <c r="AB26" s="50" t="s">
        <v>34</v>
      </c>
      <c r="AC26" s="50" t="s">
        <v>34</v>
      </c>
      <c r="AD26" s="50" t="s">
        <v>34</v>
      </c>
      <c r="AE26" s="52"/>
      <c r="AF26" s="50" t="s">
        <v>46</v>
      </c>
      <c r="AG26" s="50">
        <v>346</v>
      </c>
      <c r="AH26" s="52">
        <v>8</v>
      </c>
      <c r="AI26" s="52" t="s">
        <v>2031</v>
      </c>
      <c r="AJ26" s="52"/>
      <c r="AK26" s="52"/>
      <c r="AL26" s="50" t="s">
        <v>46</v>
      </c>
      <c r="AM26" s="50">
        <v>346</v>
      </c>
      <c r="AN26" s="52">
        <v>2</v>
      </c>
      <c r="AO26" s="52" t="s">
        <v>34</v>
      </c>
      <c r="AP26" s="52"/>
      <c r="AQ26" s="52"/>
    </row>
    <row r="27" spans="1:43" ht="15.75" customHeight="1" x14ac:dyDescent="0.15">
      <c r="A27" s="50">
        <v>3561</v>
      </c>
      <c r="B27" s="50" t="s">
        <v>675</v>
      </c>
      <c r="C27" s="50" t="s">
        <v>33</v>
      </c>
      <c r="D27" s="50">
        <v>1199</v>
      </c>
      <c r="E27" s="52">
        <v>0</v>
      </c>
      <c r="F27" s="52" t="s">
        <v>2032</v>
      </c>
      <c r="G27" s="52"/>
      <c r="H27" s="52" t="s">
        <v>2033</v>
      </c>
      <c r="I27" s="52" t="s">
        <v>33</v>
      </c>
      <c r="J27" s="52">
        <v>1199</v>
      </c>
      <c r="K27" s="52">
        <v>69</v>
      </c>
      <c r="L27" s="52" t="s">
        <v>2034</v>
      </c>
      <c r="M27" s="52" t="s">
        <v>2035</v>
      </c>
      <c r="N27" s="52"/>
      <c r="O27" s="52" t="s">
        <v>33</v>
      </c>
      <c r="P27" s="52"/>
      <c r="Q27" s="52" t="s">
        <v>34</v>
      </c>
      <c r="R27" s="52" t="s">
        <v>34</v>
      </c>
      <c r="S27" s="52" t="s">
        <v>34</v>
      </c>
      <c r="T27" s="52"/>
      <c r="U27" s="52" t="s">
        <v>33</v>
      </c>
      <c r="V27" s="52"/>
      <c r="W27" s="52" t="s">
        <v>34</v>
      </c>
      <c r="X27" s="52" t="s">
        <v>34</v>
      </c>
      <c r="Y27" s="52"/>
      <c r="Z27" s="52" t="s">
        <v>33</v>
      </c>
      <c r="AA27" s="52"/>
      <c r="AB27" s="52" t="s">
        <v>34</v>
      </c>
      <c r="AC27" s="52" t="s">
        <v>34</v>
      </c>
      <c r="AD27" s="52" t="s">
        <v>34</v>
      </c>
      <c r="AE27" s="52"/>
      <c r="AF27" s="52" t="s">
        <v>33</v>
      </c>
      <c r="AG27" s="52">
        <v>1199</v>
      </c>
      <c r="AH27" s="52">
        <v>5</v>
      </c>
      <c r="AI27" s="52" t="s">
        <v>2036</v>
      </c>
      <c r="AJ27" s="52"/>
      <c r="AK27" s="52"/>
      <c r="AL27" s="52" t="s">
        <v>33</v>
      </c>
      <c r="AM27" s="52"/>
      <c r="AN27" s="52" t="s">
        <v>34</v>
      </c>
      <c r="AO27" s="52" t="s">
        <v>34</v>
      </c>
      <c r="AP27" s="52" t="s">
        <v>34</v>
      </c>
      <c r="AQ27" s="52"/>
    </row>
    <row r="28" spans="1:43" ht="15.75" customHeight="1" x14ac:dyDescent="0.15">
      <c r="A28" s="56">
        <v>3561</v>
      </c>
      <c r="B28" s="56" t="s">
        <v>675</v>
      </c>
      <c r="C28" s="50" t="s">
        <v>46</v>
      </c>
      <c r="D28" s="50">
        <v>1259</v>
      </c>
      <c r="E28" s="52">
        <v>8</v>
      </c>
      <c r="F28" s="52" t="s">
        <v>2037</v>
      </c>
      <c r="G28" s="52"/>
      <c r="H28" s="52" t="s">
        <v>2032</v>
      </c>
      <c r="I28" s="52" t="s">
        <v>46</v>
      </c>
      <c r="J28" s="52">
        <v>1259</v>
      </c>
      <c r="K28" s="52">
        <v>62</v>
      </c>
      <c r="L28" s="52" t="s">
        <v>2038</v>
      </c>
      <c r="M28" s="52"/>
      <c r="N28" s="52"/>
      <c r="O28" s="52" t="s">
        <v>46</v>
      </c>
      <c r="P28" s="52"/>
      <c r="Q28" s="52" t="s">
        <v>34</v>
      </c>
      <c r="R28" s="52" t="s">
        <v>34</v>
      </c>
      <c r="S28" s="52" t="s">
        <v>34</v>
      </c>
      <c r="T28" s="52"/>
      <c r="U28" s="52" t="s">
        <v>46</v>
      </c>
      <c r="V28" s="52"/>
      <c r="W28" s="52" t="s">
        <v>34</v>
      </c>
      <c r="X28" s="52" t="s">
        <v>34</v>
      </c>
      <c r="Y28" s="52"/>
      <c r="Z28" s="52" t="s">
        <v>46</v>
      </c>
      <c r="AA28" s="52"/>
      <c r="AB28" s="52" t="s">
        <v>34</v>
      </c>
      <c r="AC28" s="52" t="s">
        <v>34</v>
      </c>
      <c r="AD28" s="52" t="s">
        <v>34</v>
      </c>
      <c r="AE28" s="52"/>
      <c r="AF28" s="52" t="s">
        <v>46</v>
      </c>
      <c r="AG28" s="52">
        <v>1259</v>
      </c>
      <c r="AH28" s="52">
        <v>22</v>
      </c>
      <c r="AI28" s="52" t="s">
        <v>2039</v>
      </c>
      <c r="AJ28" s="52"/>
      <c r="AK28" s="52"/>
      <c r="AL28" s="52" t="s">
        <v>46</v>
      </c>
      <c r="AM28" s="52"/>
      <c r="AN28" s="52" t="s">
        <v>34</v>
      </c>
      <c r="AO28" s="52" t="s">
        <v>34</v>
      </c>
      <c r="AP28" s="52" t="s">
        <v>34</v>
      </c>
      <c r="AQ28" s="52"/>
    </row>
    <row r="29" spans="1:43" ht="54.75" customHeight="1" x14ac:dyDescent="0.15">
      <c r="A29" s="50">
        <v>1555</v>
      </c>
      <c r="B29" s="50" t="s">
        <v>752</v>
      </c>
      <c r="C29" s="50" t="s">
        <v>2040</v>
      </c>
      <c r="D29" s="51">
        <v>984</v>
      </c>
      <c r="E29" s="52" t="s">
        <v>34</v>
      </c>
      <c r="F29" s="52" t="s">
        <v>34</v>
      </c>
      <c r="G29" s="52" t="s">
        <v>34</v>
      </c>
      <c r="H29" s="52" t="s">
        <v>1743</v>
      </c>
      <c r="I29" s="50" t="s">
        <v>2040</v>
      </c>
      <c r="J29" s="51">
        <f t="shared" ref="J29:J31" si="12">D29</f>
        <v>984</v>
      </c>
      <c r="K29" s="52" t="s">
        <v>34</v>
      </c>
      <c r="L29" s="52" t="s">
        <v>34</v>
      </c>
      <c r="M29" s="52" t="s">
        <v>34</v>
      </c>
      <c r="N29" s="52" t="str">
        <f t="shared" ref="N29:N32" si="13">H29</f>
        <v>0–13 weeks’ gestation</v>
      </c>
      <c r="O29" s="50" t="s">
        <v>2040</v>
      </c>
      <c r="P29" s="51">
        <f t="shared" ref="P29:P31" si="14">J29</f>
        <v>984</v>
      </c>
      <c r="Q29" s="50">
        <v>33</v>
      </c>
      <c r="R29" s="50" t="s">
        <v>2041</v>
      </c>
      <c r="S29" s="52" t="s">
        <v>34</v>
      </c>
      <c r="T29" s="52" t="str">
        <f t="shared" ref="T29:T32" si="15">N29</f>
        <v>0–13 weeks’ gestation</v>
      </c>
      <c r="U29" s="50" t="s">
        <v>2040</v>
      </c>
      <c r="V29" s="51">
        <f t="shared" ref="V29:V31" si="16">P29</f>
        <v>984</v>
      </c>
      <c r="W29" s="52" t="s">
        <v>34</v>
      </c>
      <c r="X29" s="52" t="s">
        <v>34</v>
      </c>
      <c r="Y29" s="52" t="str">
        <f t="shared" ref="Y29:Y32" si="17">T29</f>
        <v>0–13 weeks’ gestation</v>
      </c>
      <c r="Z29" s="50" t="s">
        <v>2040</v>
      </c>
      <c r="AA29" s="51">
        <f t="shared" ref="AA29:AA31" si="18">V29</f>
        <v>984</v>
      </c>
      <c r="AB29" s="52" t="s">
        <v>34</v>
      </c>
      <c r="AC29" s="52" t="s">
        <v>34</v>
      </c>
      <c r="AD29" s="52" t="s">
        <v>34</v>
      </c>
      <c r="AE29" s="52" t="str">
        <f t="shared" ref="AE29:AE32" si="19">Y29</f>
        <v>0–13 weeks’ gestation</v>
      </c>
      <c r="AF29" s="50" t="s">
        <v>2040</v>
      </c>
      <c r="AG29" s="51">
        <f t="shared" ref="AG29:AG31" si="20">AA29</f>
        <v>984</v>
      </c>
      <c r="AH29" s="50">
        <v>33</v>
      </c>
      <c r="AI29" s="50" t="s">
        <v>2042</v>
      </c>
      <c r="AJ29" s="50" t="s">
        <v>2043</v>
      </c>
      <c r="AK29" s="52" t="str">
        <f t="shared" ref="AK29:AK32" si="21">AE29</f>
        <v>0–13 weeks’ gestation</v>
      </c>
      <c r="AL29" s="50" t="s">
        <v>2040</v>
      </c>
      <c r="AM29" s="51">
        <f t="shared" ref="AM29:AM31" si="22">AG29</f>
        <v>984</v>
      </c>
      <c r="AN29" s="52" t="s">
        <v>34</v>
      </c>
      <c r="AO29" s="52" t="s">
        <v>34</v>
      </c>
      <c r="AP29" s="52" t="s">
        <v>34</v>
      </c>
      <c r="AQ29" s="52" t="str">
        <f t="shared" ref="AQ29:AQ32" si="23">AK29</f>
        <v>0–13 weeks’ gestation</v>
      </c>
    </row>
    <row r="30" spans="1:43" ht="54.75" customHeight="1" x14ac:dyDescent="0.15">
      <c r="A30" s="50">
        <v>1555</v>
      </c>
      <c r="B30" s="50" t="s">
        <v>752</v>
      </c>
      <c r="C30" s="50" t="s">
        <v>2044</v>
      </c>
      <c r="D30" s="51">
        <v>9352</v>
      </c>
      <c r="E30" s="52" t="s">
        <v>34</v>
      </c>
      <c r="F30" s="52" t="s">
        <v>34</v>
      </c>
      <c r="G30" s="52" t="s">
        <v>34</v>
      </c>
      <c r="H30" s="52" t="s">
        <v>629</v>
      </c>
      <c r="I30" s="50" t="s">
        <v>2044</v>
      </c>
      <c r="J30" s="51">
        <f t="shared" si="12"/>
        <v>9352</v>
      </c>
      <c r="K30" s="52" t="s">
        <v>34</v>
      </c>
      <c r="L30" s="52" t="s">
        <v>34</v>
      </c>
      <c r="M30" s="52" t="s">
        <v>34</v>
      </c>
      <c r="N30" s="52" t="str">
        <f t="shared" si="13"/>
        <v>27–36 weeks’ gestation</v>
      </c>
      <c r="O30" s="50" t="s">
        <v>2044</v>
      </c>
      <c r="P30" s="51">
        <f t="shared" si="14"/>
        <v>9352</v>
      </c>
      <c r="Q30" s="50">
        <v>318</v>
      </c>
      <c r="R30" s="50" t="s">
        <v>2045</v>
      </c>
      <c r="S30" s="52" t="s">
        <v>34</v>
      </c>
      <c r="T30" s="52" t="str">
        <f t="shared" si="15"/>
        <v>27–36 weeks’ gestation</v>
      </c>
      <c r="U30" s="50" t="s">
        <v>2044</v>
      </c>
      <c r="V30" s="51">
        <f t="shared" si="16"/>
        <v>9352</v>
      </c>
      <c r="W30" s="52" t="s">
        <v>34</v>
      </c>
      <c r="X30" s="52" t="s">
        <v>34</v>
      </c>
      <c r="Y30" s="52" t="str">
        <f t="shared" si="17"/>
        <v>27–36 weeks’ gestation</v>
      </c>
      <c r="Z30" s="50" t="s">
        <v>2044</v>
      </c>
      <c r="AA30" s="51">
        <f t="shared" si="18"/>
        <v>9352</v>
      </c>
      <c r="AB30" s="52" t="s">
        <v>34</v>
      </c>
      <c r="AC30" s="52" t="s">
        <v>34</v>
      </c>
      <c r="AD30" s="52" t="s">
        <v>34</v>
      </c>
      <c r="AE30" s="52" t="str">
        <f t="shared" si="19"/>
        <v>27–36 weeks’ gestation</v>
      </c>
      <c r="AF30" s="50" t="s">
        <v>2044</v>
      </c>
      <c r="AG30" s="51">
        <f t="shared" si="20"/>
        <v>9352</v>
      </c>
      <c r="AH30" s="50" t="s">
        <v>34</v>
      </c>
      <c r="AI30" s="52" t="s">
        <v>34</v>
      </c>
      <c r="AJ30" s="52" t="s">
        <v>34</v>
      </c>
      <c r="AK30" s="52" t="str">
        <f t="shared" si="21"/>
        <v>27–36 weeks’ gestation</v>
      </c>
      <c r="AL30" s="50" t="s">
        <v>2044</v>
      </c>
      <c r="AM30" s="51">
        <f t="shared" si="22"/>
        <v>9352</v>
      </c>
      <c r="AN30" s="52" t="s">
        <v>34</v>
      </c>
      <c r="AO30" s="52" t="s">
        <v>34</v>
      </c>
      <c r="AP30" s="52" t="s">
        <v>34</v>
      </c>
      <c r="AQ30" s="52" t="str">
        <f t="shared" si="23"/>
        <v>27–36 weeks’ gestation</v>
      </c>
    </row>
    <row r="31" spans="1:43" ht="54.75" customHeight="1" x14ac:dyDescent="0.15">
      <c r="A31" s="50">
        <v>1555</v>
      </c>
      <c r="B31" s="50" t="s">
        <v>752</v>
      </c>
      <c r="C31" s="50" t="s">
        <v>2046</v>
      </c>
      <c r="D31" s="51">
        <f>D29+D30</f>
        <v>10336</v>
      </c>
      <c r="E31" s="53" t="s">
        <v>34</v>
      </c>
      <c r="F31" s="53" t="s">
        <v>34</v>
      </c>
      <c r="G31" s="53" t="s">
        <v>34</v>
      </c>
      <c r="H31" s="52" t="s">
        <v>1751</v>
      </c>
      <c r="I31" s="50" t="s">
        <v>2046</v>
      </c>
      <c r="J31" s="51">
        <f t="shared" si="12"/>
        <v>10336</v>
      </c>
      <c r="K31" s="53" t="s">
        <v>34</v>
      </c>
      <c r="L31" s="53" t="s">
        <v>34</v>
      </c>
      <c r="M31" s="53" t="s">
        <v>34</v>
      </c>
      <c r="N31" s="52" t="str">
        <f t="shared" si="13"/>
        <v>0–13 weeks’ gestation
+
27–36 weeks’ gestation</v>
      </c>
      <c r="O31" s="50" t="s">
        <v>2046</v>
      </c>
      <c r="P31" s="51">
        <f t="shared" si="14"/>
        <v>10336</v>
      </c>
      <c r="Q31" s="51">
        <f>Q29+Q30</f>
        <v>351</v>
      </c>
      <c r="R31" s="52"/>
      <c r="S31" s="53" t="s">
        <v>34</v>
      </c>
      <c r="T31" s="52" t="str">
        <f t="shared" si="15"/>
        <v>0–13 weeks’ gestation
+
27–36 weeks’ gestation</v>
      </c>
      <c r="U31" s="50" t="s">
        <v>2046</v>
      </c>
      <c r="V31" s="51">
        <f t="shared" si="16"/>
        <v>10336</v>
      </c>
      <c r="W31" s="53" t="s">
        <v>34</v>
      </c>
      <c r="X31" s="53" t="s">
        <v>34</v>
      </c>
      <c r="Y31" s="52" t="str">
        <f t="shared" si="17"/>
        <v>0–13 weeks’ gestation
+
27–36 weeks’ gestation</v>
      </c>
      <c r="Z31" s="50" t="s">
        <v>2046</v>
      </c>
      <c r="AA31" s="51">
        <f t="shared" si="18"/>
        <v>10336</v>
      </c>
      <c r="AB31" s="53" t="s">
        <v>34</v>
      </c>
      <c r="AC31" s="53" t="s">
        <v>34</v>
      </c>
      <c r="AD31" s="53" t="s">
        <v>34</v>
      </c>
      <c r="AE31" s="52" t="str">
        <f t="shared" si="19"/>
        <v>0–13 weeks’ gestation
+
27–36 weeks’ gestation</v>
      </c>
      <c r="AF31" s="50" t="s">
        <v>2046</v>
      </c>
      <c r="AG31" s="51">
        <f t="shared" si="20"/>
        <v>10336</v>
      </c>
      <c r="AH31" s="51" t="s">
        <v>34</v>
      </c>
      <c r="AI31" s="53" t="s">
        <v>34</v>
      </c>
      <c r="AJ31" s="53" t="s">
        <v>34</v>
      </c>
      <c r="AK31" s="52" t="str">
        <f t="shared" si="21"/>
        <v>0–13 weeks’ gestation
+
27–36 weeks’ gestation</v>
      </c>
      <c r="AL31" s="50" t="s">
        <v>2046</v>
      </c>
      <c r="AM31" s="51">
        <f t="shared" si="22"/>
        <v>10336</v>
      </c>
      <c r="AN31" s="53" t="s">
        <v>34</v>
      </c>
      <c r="AO31" s="53" t="s">
        <v>34</v>
      </c>
      <c r="AP31" s="53" t="s">
        <v>34</v>
      </c>
      <c r="AQ31" s="52" t="str">
        <f t="shared" si="23"/>
        <v>0–13 weeks’ gestation
+
27–36 weeks’ gestation</v>
      </c>
    </row>
    <row r="32" spans="1:43" ht="54.75" customHeight="1" x14ac:dyDescent="0.15">
      <c r="A32" s="50">
        <v>1555</v>
      </c>
      <c r="B32" s="50" t="s">
        <v>752</v>
      </c>
      <c r="C32" s="50" t="s">
        <v>46</v>
      </c>
      <c r="D32" s="51">
        <v>103729</v>
      </c>
      <c r="E32" s="52" t="s">
        <v>34</v>
      </c>
      <c r="F32" s="52" t="s">
        <v>34</v>
      </c>
      <c r="G32" s="52" t="s">
        <v>34</v>
      </c>
      <c r="H32" s="52" t="s">
        <v>2047</v>
      </c>
      <c r="I32" s="50" t="str">
        <f t="shared" ref="I32:J32" si="24">C32</f>
        <v>No Tdap</v>
      </c>
      <c r="J32" s="51">
        <f t="shared" si="24"/>
        <v>103729</v>
      </c>
      <c r="K32" s="52" t="s">
        <v>34</v>
      </c>
      <c r="L32" s="52" t="s">
        <v>34</v>
      </c>
      <c r="M32" s="52" t="s">
        <v>34</v>
      </c>
      <c r="N32" s="52" t="str">
        <f t="shared" si="13"/>
        <v xml:space="preserve">Fig. 1. Study population flowchart detailing pregnancies and exclusions among active duty U.S. military women, Department of Defense Birth and Infant Health Research
Program, 2006–2014.
103,729 No Tdap vaccine exposure during mother’s 
</v>
      </c>
      <c r="O32" s="50" t="str">
        <f t="shared" ref="O32:P32" si="25">I32</f>
        <v>No Tdap</v>
      </c>
      <c r="P32" s="51">
        <f t="shared" si="25"/>
        <v>103729</v>
      </c>
      <c r="Q32" s="50">
        <v>5111</v>
      </c>
      <c r="R32" s="53" t="s">
        <v>34</v>
      </c>
      <c r="S32" s="52" t="s">
        <v>34</v>
      </c>
      <c r="T32" s="52" t="str">
        <f t="shared" si="15"/>
        <v xml:space="preserve">Fig. 1. Study population flowchart detailing pregnancies and exclusions among active duty U.S. military women, Department of Defense Birth and Infant Health Research
Program, 2006–2014.
103,729 No Tdap vaccine exposure during mother’s 
</v>
      </c>
      <c r="U32" s="50" t="str">
        <f t="shared" ref="U32:V32" si="26">O32</f>
        <v>No Tdap</v>
      </c>
      <c r="V32" s="51">
        <f t="shared" si="26"/>
        <v>103729</v>
      </c>
      <c r="W32" s="52" t="s">
        <v>34</v>
      </c>
      <c r="X32" s="52" t="s">
        <v>34</v>
      </c>
      <c r="Y32" s="52" t="str">
        <f t="shared" si="17"/>
        <v xml:space="preserve">Fig. 1. Study population flowchart detailing pregnancies and exclusions among active duty U.S. military women, Department of Defense Birth and Infant Health Research
Program, 2006–2014.
103,729 No Tdap vaccine exposure during mother’s 
</v>
      </c>
      <c r="Z32" s="50" t="str">
        <f t="shared" ref="Z32:AA32" si="27">U32</f>
        <v>No Tdap</v>
      </c>
      <c r="AA32" s="51">
        <f t="shared" si="27"/>
        <v>103729</v>
      </c>
      <c r="AB32" s="52" t="s">
        <v>34</v>
      </c>
      <c r="AC32" s="52" t="s">
        <v>34</v>
      </c>
      <c r="AD32" s="52" t="s">
        <v>34</v>
      </c>
      <c r="AE32" s="52" t="str">
        <f t="shared" si="19"/>
        <v xml:space="preserve">Fig. 1. Study population flowchart detailing pregnancies and exclusions among active duty U.S. military women, Department of Defense Birth and Infant Health Research
Program, 2006–2014.
103,729 No Tdap vaccine exposure during mother’s 
</v>
      </c>
      <c r="AF32" s="50" t="str">
        <f t="shared" ref="AF32:AG32" si="28">Z32</f>
        <v>No Tdap</v>
      </c>
      <c r="AG32" s="51">
        <f t="shared" si="28"/>
        <v>103729</v>
      </c>
      <c r="AH32" s="50">
        <v>3091</v>
      </c>
      <c r="AI32" s="53" t="s">
        <v>34</v>
      </c>
      <c r="AJ32" s="53" t="s">
        <v>34</v>
      </c>
      <c r="AK32" s="52" t="str">
        <f t="shared" si="21"/>
        <v xml:space="preserve">Fig. 1. Study population flowchart detailing pregnancies and exclusions among active duty U.S. military women, Department of Defense Birth and Infant Health Research
Program, 2006–2014.
103,729 No Tdap vaccine exposure during mother’s 
</v>
      </c>
      <c r="AL32" s="50" t="str">
        <f t="shared" ref="AL32:AM32" si="29">AF32</f>
        <v>No Tdap</v>
      </c>
      <c r="AM32" s="51">
        <f t="shared" si="29"/>
        <v>103729</v>
      </c>
      <c r="AN32" s="52" t="s">
        <v>34</v>
      </c>
      <c r="AO32" s="52" t="s">
        <v>34</v>
      </c>
      <c r="AP32" s="52" t="s">
        <v>34</v>
      </c>
      <c r="AQ32" s="52" t="str">
        <f t="shared" si="23"/>
        <v xml:space="preserve">Fig. 1. Study population flowchart detailing pregnancies and exclusions among active duty U.S. military women, Department of Defense Birth and Infant Health Research
Program, 2006–2014.
103,729 No Tdap vaccine exposure during mother’s 
</v>
      </c>
    </row>
    <row r="33" spans="1:43" ht="15.75" customHeight="1" x14ac:dyDescent="0.15">
      <c r="A33" s="50">
        <v>507</v>
      </c>
      <c r="B33" s="50" t="s">
        <v>772</v>
      </c>
      <c r="C33" s="50" t="s">
        <v>33</v>
      </c>
      <c r="D33" s="50">
        <v>76</v>
      </c>
      <c r="E33" s="50" t="s">
        <v>34</v>
      </c>
      <c r="F33" s="50" t="s">
        <v>34</v>
      </c>
      <c r="G33" s="50" t="s">
        <v>34</v>
      </c>
      <c r="H33" s="52"/>
      <c r="I33" s="50" t="s">
        <v>33</v>
      </c>
      <c r="J33" s="50">
        <v>76</v>
      </c>
      <c r="K33" s="50" t="s">
        <v>34</v>
      </c>
      <c r="L33" s="50" t="s">
        <v>34</v>
      </c>
      <c r="M33" s="50" t="s">
        <v>34</v>
      </c>
      <c r="N33" s="52" t="s">
        <v>2048</v>
      </c>
      <c r="O33" s="50" t="s">
        <v>33</v>
      </c>
      <c r="P33" s="50">
        <v>76</v>
      </c>
      <c r="Q33" s="50" t="s">
        <v>34</v>
      </c>
      <c r="R33" s="50" t="s">
        <v>34</v>
      </c>
      <c r="S33" s="50" t="s">
        <v>34</v>
      </c>
      <c r="T33" s="52"/>
      <c r="U33" s="50" t="s">
        <v>33</v>
      </c>
      <c r="V33" s="50">
        <v>76</v>
      </c>
      <c r="W33" s="50" t="s">
        <v>34</v>
      </c>
      <c r="X33" s="50" t="s">
        <v>34</v>
      </c>
      <c r="Y33" s="52"/>
      <c r="Z33" s="50" t="s">
        <v>33</v>
      </c>
      <c r="AA33" s="50">
        <v>76</v>
      </c>
      <c r="AB33" s="50" t="s">
        <v>34</v>
      </c>
      <c r="AC33" s="50" t="s">
        <v>34</v>
      </c>
      <c r="AD33" s="50" t="s">
        <v>34</v>
      </c>
      <c r="AE33" s="52"/>
      <c r="AF33" s="50" t="s">
        <v>33</v>
      </c>
      <c r="AG33" s="50">
        <v>76</v>
      </c>
      <c r="AH33" s="50" t="s">
        <v>34</v>
      </c>
      <c r="AI33" s="50" t="s">
        <v>34</v>
      </c>
      <c r="AJ33" s="50" t="s">
        <v>34</v>
      </c>
      <c r="AK33" s="52"/>
      <c r="AL33" s="50" t="s">
        <v>33</v>
      </c>
      <c r="AM33" s="50">
        <v>76</v>
      </c>
      <c r="AN33" s="50" t="s">
        <v>34</v>
      </c>
      <c r="AO33" s="50" t="s">
        <v>34</v>
      </c>
      <c r="AP33" s="50" t="s">
        <v>34</v>
      </c>
      <c r="AQ33" s="52"/>
    </row>
    <row r="34" spans="1:43" ht="15.75" customHeight="1" x14ac:dyDescent="0.15">
      <c r="A34" s="50">
        <v>507</v>
      </c>
      <c r="B34" s="50" t="s">
        <v>772</v>
      </c>
      <c r="C34" s="50" t="s">
        <v>46</v>
      </c>
      <c r="D34" s="50">
        <v>35</v>
      </c>
      <c r="E34" s="50" t="s">
        <v>34</v>
      </c>
      <c r="F34" s="50" t="s">
        <v>34</v>
      </c>
      <c r="G34" s="50" t="s">
        <v>34</v>
      </c>
      <c r="H34" s="52"/>
      <c r="I34" s="50" t="s">
        <v>46</v>
      </c>
      <c r="J34" s="50">
        <v>35</v>
      </c>
      <c r="K34" s="50" t="s">
        <v>34</v>
      </c>
      <c r="L34" s="50" t="s">
        <v>34</v>
      </c>
      <c r="M34" s="50" t="s">
        <v>34</v>
      </c>
      <c r="N34" s="52" t="s">
        <v>2049</v>
      </c>
      <c r="O34" s="50" t="s">
        <v>46</v>
      </c>
      <c r="P34" s="50">
        <v>35</v>
      </c>
      <c r="Q34" s="50" t="s">
        <v>34</v>
      </c>
      <c r="R34" s="50" t="s">
        <v>34</v>
      </c>
      <c r="S34" s="50" t="s">
        <v>34</v>
      </c>
      <c r="T34" s="52"/>
      <c r="U34" s="50" t="s">
        <v>46</v>
      </c>
      <c r="V34" s="50">
        <v>35</v>
      </c>
      <c r="W34" s="50" t="s">
        <v>34</v>
      </c>
      <c r="X34" s="50" t="s">
        <v>34</v>
      </c>
      <c r="Y34" s="52"/>
      <c r="Z34" s="50" t="s">
        <v>46</v>
      </c>
      <c r="AA34" s="50">
        <v>35</v>
      </c>
      <c r="AB34" s="50" t="s">
        <v>34</v>
      </c>
      <c r="AC34" s="50" t="s">
        <v>34</v>
      </c>
      <c r="AD34" s="50" t="s">
        <v>34</v>
      </c>
      <c r="AE34" s="52"/>
      <c r="AF34" s="50" t="s">
        <v>46</v>
      </c>
      <c r="AG34" s="50">
        <v>35</v>
      </c>
      <c r="AH34" s="50" t="s">
        <v>34</v>
      </c>
      <c r="AI34" s="50" t="s">
        <v>34</v>
      </c>
      <c r="AJ34" s="50" t="s">
        <v>34</v>
      </c>
      <c r="AK34" s="52"/>
      <c r="AL34" s="50" t="s">
        <v>46</v>
      </c>
      <c r="AM34" s="50">
        <v>35</v>
      </c>
      <c r="AN34" s="50" t="s">
        <v>34</v>
      </c>
      <c r="AO34" s="50" t="s">
        <v>34</v>
      </c>
      <c r="AP34" s="50" t="s">
        <v>34</v>
      </c>
      <c r="AQ34" s="52"/>
    </row>
    <row r="35" spans="1:43" ht="15.75" customHeight="1" x14ac:dyDescent="0.15">
      <c r="A35" s="50">
        <v>1485</v>
      </c>
      <c r="B35" s="54" t="s">
        <v>785</v>
      </c>
      <c r="C35" s="50" t="s">
        <v>33</v>
      </c>
      <c r="D35" s="51">
        <v>95970</v>
      </c>
      <c r="E35" s="52" t="s">
        <v>34</v>
      </c>
      <c r="F35" s="52" t="s">
        <v>34</v>
      </c>
      <c r="G35" s="52" t="s">
        <v>34</v>
      </c>
      <c r="H35" s="52" t="s">
        <v>2050</v>
      </c>
      <c r="I35" s="50" t="str">
        <f t="shared" ref="I35:J35" si="30">C35</f>
        <v>Tdap</v>
      </c>
      <c r="J35" s="51">
        <f t="shared" si="30"/>
        <v>95970</v>
      </c>
      <c r="K35" s="52" t="s">
        <v>34</v>
      </c>
      <c r="L35" s="52" t="s">
        <v>34</v>
      </c>
      <c r="M35" s="52" t="s">
        <v>34</v>
      </c>
      <c r="N35" s="52" t="str">
        <f t="shared" ref="N35:P35" si="31">H35</f>
        <v>Values from Fig. 1</v>
      </c>
      <c r="O35" s="50" t="str">
        <f t="shared" si="31"/>
        <v>Tdap</v>
      </c>
      <c r="P35" s="51">
        <f t="shared" si="31"/>
        <v>95970</v>
      </c>
      <c r="Q35" s="52" t="s">
        <v>34</v>
      </c>
      <c r="R35" s="52" t="s">
        <v>34</v>
      </c>
      <c r="S35" s="52" t="s">
        <v>34</v>
      </c>
      <c r="T35" s="52" t="str">
        <f t="shared" ref="T35:V35" si="32">N35</f>
        <v>Values from Fig. 1</v>
      </c>
      <c r="U35" s="50" t="str">
        <f t="shared" si="32"/>
        <v>Tdap</v>
      </c>
      <c r="V35" s="51">
        <f t="shared" si="32"/>
        <v>95970</v>
      </c>
      <c r="W35" s="50">
        <v>790</v>
      </c>
      <c r="X35" s="50" t="s">
        <v>34</v>
      </c>
      <c r="Y35" s="52" t="s">
        <v>2051</v>
      </c>
      <c r="Z35" s="50" t="str">
        <f t="shared" ref="Z35:AA35" si="33">U35</f>
        <v>Tdap</v>
      </c>
      <c r="AA35" s="51">
        <f t="shared" si="33"/>
        <v>95970</v>
      </c>
      <c r="AB35" s="52" t="s">
        <v>34</v>
      </c>
      <c r="AC35" s="52" t="s">
        <v>34</v>
      </c>
      <c r="AD35" s="52" t="s">
        <v>34</v>
      </c>
      <c r="AE35" s="52"/>
      <c r="AF35" s="50" t="str">
        <f t="shared" ref="AF35:AG35" si="34">Z35</f>
        <v>Tdap</v>
      </c>
      <c r="AG35" s="51">
        <f t="shared" si="34"/>
        <v>95970</v>
      </c>
      <c r="AH35" s="52" t="s">
        <v>34</v>
      </c>
      <c r="AI35" s="52" t="s">
        <v>34</v>
      </c>
      <c r="AJ35" s="52" t="s">
        <v>34</v>
      </c>
      <c r="AK35" s="52">
        <f t="shared" ref="AK35:AM35" si="35">AE35</f>
        <v>0</v>
      </c>
      <c r="AL35" s="50" t="str">
        <f t="shared" si="35"/>
        <v>Tdap</v>
      </c>
      <c r="AM35" s="51">
        <f t="shared" si="35"/>
        <v>95970</v>
      </c>
      <c r="AN35" s="50">
        <v>386</v>
      </c>
      <c r="AO35" s="50" t="s">
        <v>2052</v>
      </c>
      <c r="AP35" s="50" t="s">
        <v>2053</v>
      </c>
      <c r="AQ35" s="52" t="s">
        <v>2054</v>
      </c>
    </row>
    <row r="36" spans="1:43" ht="15.75" customHeight="1" x14ac:dyDescent="0.15">
      <c r="A36" s="50">
        <v>1485</v>
      </c>
      <c r="B36" s="54" t="s">
        <v>785</v>
      </c>
      <c r="C36" s="50" t="s">
        <v>46</v>
      </c>
      <c r="D36" s="51">
        <v>13210</v>
      </c>
      <c r="E36" s="52" t="s">
        <v>34</v>
      </c>
      <c r="F36" s="52" t="s">
        <v>34</v>
      </c>
      <c r="G36" s="52" t="s">
        <v>34</v>
      </c>
      <c r="H36" s="52"/>
      <c r="I36" s="50" t="str">
        <f t="shared" ref="I36:J36" si="36">C36</f>
        <v>No Tdap</v>
      </c>
      <c r="J36" s="51">
        <f t="shared" si="36"/>
        <v>13210</v>
      </c>
      <c r="K36" s="52" t="s">
        <v>34</v>
      </c>
      <c r="L36" s="52" t="s">
        <v>34</v>
      </c>
      <c r="M36" s="52" t="s">
        <v>34</v>
      </c>
      <c r="N36" s="52">
        <f t="shared" ref="N36:P36" si="37">H36</f>
        <v>0</v>
      </c>
      <c r="O36" s="50" t="str">
        <f t="shared" si="37"/>
        <v>No Tdap</v>
      </c>
      <c r="P36" s="51">
        <f t="shared" si="37"/>
        <v>13210</v>
      </c>
      <c r="Q36" s="52" t="s">
        <v>34</v>
      </c>
      <c r="R36" s="52" t="s">
        <v>34</v>
      </c>
      <c r="S36" s="52" t="s">
        <v>34</v>
      </c>
      <c r="T36" s="52">
        <f t="shared" ref="T36:V36" si="38">N36</f>
        <v>0</v>
      </c>
      <c r="U36" s="50" t="str">
        <f t="shared" si="38"/>
        <v>No Tdap</v>
      </c>
      <c r="V36" s="51">
        <f t="shared" si="38"/>
        <v>13210</v>
      </c>
      <c r="W36" s="50">
        <v>226</v>
      </c>
      <c r="X36" s="52"/>
      <c r="Y36" s="52" t="s">
        <v>2055</v>
      </c>
      <c r="Z36" s="50" t="str">
        <f t="shared" ref="Z36:AA36" si="39">U36</f>
        <v>No Tdap</v>
      </c>
      <c r="AA36" s="51">
        <f t="shared" si="39"/>
        <v>13210</v>
      </c>
      <c r="AB36" s="52" t="s">
        <v>34</v>
      </c>
      <c r="AC36" s="52" t="s">
        <v>34</v>
      </c>
      <c r="AD36" s="52" t="s">
        <v>34</v>
      </c>
      <c r="AE36" s="52"/>
      <c r="AF36" s="50" t="str">
        <f t="shared" ref="AF36:AG36" si="40">Z36</f>
        <v>No Tdap</v>
      </c>
      <c r="AG36" s="51">
        <f t="shared" si="40"/>
        <v>13210</v>
      </c>
      <c r="AH36" s="52" t="s">
        <v>34</v>
      </c>
      <c r="AI36" s="52" t="s">
        <v>34</v>
      </c>
      <c r="AJ36" s="52" t="s">
        <v>34</v>
      </c>
      <c r="AK36" s="52">
        <f t="shared" ref="AK36:AM36" si="41">AE36</f>
        <v>0</v>
      </c>
      <c r="AL36" s="50" t="str">
        <f t="shared" si="41"/>
        <v>No Tdap</v>
      </c>
      <c r="AM36" s="51">
        <f t="shared" si="41"/>
        <v>13210</v>
      </c>
      <c r="AN36" s="50">
        <v>140</v>
      </c>
      <c r="AO36" s="52"/>
      <c r="AP36" s="52"/>
      <c r="AQ36" s="52"/>
    </row>
    <row r="37" spans="1:43" ht="15.75" customHeight="1" x14ac:dyDescent="0.15">
      <c r="A37" s="50">
        <v>2884</v>
      </c>
      <c r="B37" s="50" t="s">
        <v>848</v>
      </c>
      <c r="C37" s="50" t="s">
        <v>861</v>
      </c>
      <c r="D37" s="50">
        <v>40</v>
      </c>
      <c r="E37" s="50">
        <v>3</v>
      </c>
      <c r="F37" s="50" t="s">
        <v>34</v>
      </c>
      <c r="G37" s="50" t="s">
        <v>2056</v>
      </c>
      <c r="H37" s="52" t="s">
        <v>2057</v>
      </c>
      <c r="I37" s="50" t="s">
        <v>861</v>
      </c>
      <c r="J37" s="50">
        <v>40</v>
      </c>
      <c r="K37" s="50" t="s">
        <v>34</v>
      </c>
      <c r="L37" s="50" t="s">
        <v>34</v>
      </c>
      <c r="M37" s="50" t="s">
        <v>34</v>
      </c>
      <c r="N37" s="52"/>
      <c r="O37" s="50" t="s">
        <v>861</v>
      </c>
      <c r="P37" s="50">
        <v>40</v>
      </c>
      <c r="Q37" s="50" t="s">
        <v>34</v>
      </c>
      <c r="R37" s="50" t="s">
        <v>34</v>
      </c>
      <c r="S37" s="50" t="s">
        <v>34</v>
      </c>
      <c r="T37" s="52"/>
      <c r="U37" s="50" t="s">
        <v>861</v>
      </c>
      <c r="V37" s="50">
        <v>40</v>
      </c>
      <c r="W37" s="50" t="s">
        <v>2058</v>
      </c>
      <c r="X37" s="50" t="s">
        <v>1974</v>
      </c>
      <c r="Y37" s="52" t="s">
        <v>1761</v>
      </c>
      <c r="Z37" s="50" t="s">
        <v>861</v>
      </c>
      <c r="AA37" s="50">
        <v>40</v>
      </c>
      <c r="AB37" s="50">
        <v>5</v>
      </c>
      <c r="AC37" s="50" t="s">
        <v>34</v>
      </c>
      <c r="AD37" s="50" t="s">
        <v>34</v>
      </c>
      <c r="AE37" s="52" t="s">
        <v>1761</v>
      </c>
      <c r="AF37" s="50" t="s">
        <v>861</v>
      </c>
      <c r="AG37" s="50">
        <v>40</v>
      </c>
      <c r="AH37" s="50">
        <v>2</v>
      </c>
      <c r="AI37" s="50" t="s">
        <v>34</v>
      </c>
      <c r="AJ37" s="50" t="s">
        <v>34</v>
      </c>
      <c r="AK37" s="52" t="s">
        <v>1761</v>
      </c>
      <c r="AL37" s="50" t="s">
        <v>861</v>
      </c>
      <c r="AM37" s="50">
        <v>40</v>
      </c>
      <c r="AN37" s="50" t="s">
        <v>34</v>
      </c>
      <c r="AO37" s="50" t="s">
        <v>34</v>
      </c>
      <c r="AP37" s="50" t="s">
        <v>34</v>
      </c>
      <c r="AQ37" s="52"/>
    </row>
    <row r="38" spans="1:43" ht="15.75" customHeight="1" x14ac:dyDescent="0.15">
      <c r="A38" s="50">
        <v>2884</v>
      </c>
      <c r="B38" s="50" t="s">
        <v>848</v>
      </c>
      <c r="C38" s="50" t="s">
        <v>867</v>
      </c>
      <c r="D38" s="50">
        <v>50</v>
      </c>
      <c r="E38" s="50">
        <v>0</v>
      </c>
      <c r="F38" s="50" t="s">
        <v>34</v>
      </c>
      <c r="G38" s="50" t="s">
        <v>34</v>
      </c>
      <c r="H38" s="52"/>
      <c r="I38" s="50" t="s">
        <v>867</v>
      </c>
      <c r="J38" s="50">
        <v>50</v>
      </c>
      <c r="K38" s="50" t="s">
        <v>34</v>
      </c>
      <c r="L38" s="50" t="s">
        <v>34</v>
      </c>
      <c r="M38" s="50" t="s">
        <v>34</v>
      </c>
      <c r="N38" s="52"/>
      <c r="O38" s="50" t="s">
        <v>867</v>
      </c>
      <c r="P38" s="50">
        <v>50</v>
      </c>
      <c r="Q38" s="50" t="s">
        <v>34</v>
      </c>
      <c r="R38" s="50" t="s">
        <v>34</v>
      </c>
      <c r="S38" s="50" t="s">
        <v>34</v>
      </c>
      <c r="T38" s="52"/>
      <c r="U38" s="50" t="s">
        <v>867</v>
      </c>
      <c r="V38" s="50">
        <v>50</v>
      </c>
      <c r="W38" s="50" t="s">
        <v>2059</v>
      </c>
      <c r="X38" s="50" t="s">
        <v>1974</v>
      </c>
      <c r="Y38" s="52"/>
      <c r="Z38" s="50" t="s">
        <v>867</v>
      </c>
      <c r="AA38" s="50">
        <v>50</v>
      </c>
      <c r="AB38" s="50">
        <v>2</v>
      </c>
      <c r="AC38" s="50" t="s">
        <v>34</v>
      </c>
      <c r="AD38" s="50" t="s">
        <v>34</v>
      </c>
      <c r="AE38" s="52"/>
      <c r="AF38" s="50" t="s">
        <v>867</v>
      </c>
      <c r="AG38" s="50">
        <v>50</v>
      </c>
      <c r="AH38" s="50">
        <v>1</v>
      </c>
      <c r="AI38" s="50" t="s">
        <v>34</v>
      </c>
      <c r="AJ38" s="50" t="s">
        <v>34</v>
      </c>
      <c r="AK38" s="52"/>
      <c r="AL38" s="50" t="s">
        <v>867</v>
      </c>
      <c r="AM38" s="50">
        <v>50</v>
      </c>
      <c r="AN38" s="50" t="s">
        <v>34</v>
      </c>
      <c r="AO38" s="50" t="s">
        <v>34</v>
      </c>
      <c r="AP38" s="50" t="s">
        <v>34</v>
      </c>
      <c r="AQ38" s="52"/>
    </row>
    <row r="39" spans="1:43" ht="15.75" customHeight="1" x14ac:dyDescent="0.15">
      <c r="A39" s="50">
        <v>2884</v>
      </c>
      <c r="B39" s="50" t="s">
        <v>848</v>
      </c>
      <c r="C39" s="50" t="s">
        <v>871</v>
      </c>
      <c r="D39" s="50">
        <v>41</v>
      </c>
      <c r="E39" s="50">
        <v>1</v>
      </c>
      <c r="F39" s="50" t="s">
        <v>34</v>
      </c>
      <c r="G39" s="50" t="s">
        <v>34</v>
      </c>
      <c r="H39" s="52"/>
      <c r="I39" s="50" t="s">
        <v>871</v>
      </c>
      <c r="J39" s="50">
        <v>41</v>
      </c>
      <c r="K39" s="50" t="s">
        <v>34</v>
      </c>
      <c r="L39" s="50" t="s">
        <v>34</v>
      </c>
      <c r="M39" s="50" t="s">
        <v>34</v>
      </c>
      <c r="N39" s="52"/>
      <c r="O39" s="50" t="s">
        <v>871</v>
      </c>
      <c r="P39" s="50">
        <v>41</v>
      </c>
      <c r="Q39" s="50" t="s">
        <v>34</v>
      </c>
      <c r="R39" s="50" t="s">
        <v>34</v>
      </c>
      <c r="S39" s="50" t="s">
        <v>34</v>
      </c>
      <c r="T39" s="52"/>
      <c r="U39" s="50" t="s">
        <v>871</v>
      </c>
      <c r="V39" s="50">
        <v>41</v>
      </c>
      <c r="W39" s="50" t="s">
        <v>2058</v>
      </c>
      <c r="X39" s="50" t="s">
        <v>1974</v>
      </c>
      <c r="Y39" s="52"/>
      <c r="Z39" s="50" t="s">
        <v>871</v>
      </c>
      <c r="AA39" s="50">
        <v>41</v>
      </c>
      <c r="AB39" s="50">
        <v>3</v>
      </c>
      <c r="AC39" s="50" t="s">
        <v>34</v>
      </c>
      <c r="AD39" s="50" t="s">
        <v>34</v>
      </c>
      <c r="AE39" s="52"/>
      <c r="AF39" s="50" t="s">
        <v>871</v>
      </c>
      <c r="AG39" s="50">
        <v>41</v>
      </c>
      <c r="AH39" s="50">
        <v>0</v>
      </c>
      <c r="AI39" s="50" t="s">
        <v>34</v>
      </c>
      <c r="AJ39" s="50" t="s">
        <v>34</v>
      </c>
      <c r="AK39" s="52"/>
      <c r="AL39" s="50" t="s">
        <v>871</v>
      </c>
      <c r="AM39" s="50">
        <v>41</v>
      </c>
      <c r="AN39" s="50" t="s">
        <v>34</v>
      </c>
      <c r="AO39" s="50" t="s">
        <v>34</v>
      </c>
      <c r="AP39" s="50" t="s">
        <v>34</v>
      </c>
      <c r="AQ39" s="52"/>
    </row>
    <row r="40" spans="1:43" ht="15.75" customHeight="1" x14ac:dyDescent="0.15">
      <c r="A40" s="50">
        <v>2884</v>
      </c>
      <c r="B40" s="50" t="s">
        <v>848</v>
      </c>
      <c r="C40" s="50" t="s">
        <v>876</v>
      </c>
      <c r="D40" s="50">
        <v>50</v>
      </c>
      <c r="E40" s="50">
        <v>0</v>
      </c>
      <c r="F40" s="50" t="s">
        <v>34</v>
      </c>
      <c r="G40" s="50" t="s">
        <v>34</v>
      </c>
      <c r="H40" s="52"/>
      <c r="I40" s="50" t="s">
        <v>876</v>
      </c>
      <c r="J40" s="50">
        <v>50</v>
      </c>
      <c r="K40" s="50" t="s">
        <v>34</v>
      </c>
      <c r="L40" s="50" t="s">
        <v>34</v>
      </c>
      <c r="M40" s="50" t="s">
        <v>34</v>
      </c>
      <c r="N40" s="52"/>
      <c r="O40" s="50" t="s">
        <v>876</v>
      </c>
      <c r="P40" s="50">
        <v>50</v>
      </c>
      <c r="Q40" s="50" t="s">
        <v>34</v>
      </c>
      <c r="R40" s="50" t="s">
        <v>34</v>
      </c>
      <c r="S40" s="50" t="s">
        <v>34</v>
      </c>
      <c r="T40" s="52"/>
      <c r="U40" s="50" t="s">
        <v>876</v>
      </c>
      <c r="V40" s="50">
        <v>50</v>
      </c>
      <c r="W40" s="50" t="s">
        <v>2058</v>
      </c>
      <c r="X40" s="50" t="s">
        <v>1974</v>
      </c>
      <c r="Y40" s="52"/>
      <c r="Z40" s="50" t="s">
        <v>876</v>
      </c>
      <c r="AA40" s="50">
        <v>50</v>
      </c>
      <c r="AB40" s="50">
        <v>2</v>
      </c>
      <c r="AC40" s="50" t="s">
        <v>34</v>
      </c>
      <c r="AD40" s="50" t="s">
        <v>34</v>
      </c>
      <c r="AE40" s="52"/>
      <c r="AF40" s="50" t="s">
        <v>876</v>
      </c>
      <c r="AG40" s="50">
        <v>50</v>
      </c>
      <c r="AH40" s="50">
        <v>0</v>
      </c>
      <c r="AI40" s="50" t="s">
        <v>34</v>
      </c>
      <c r="AJ40" s="50" t="s">
        <v>34</v>
      </c>
      <c r="AK40" s="52"/>
      <c r="AL40" s="50" t="s">
        <v>876</v>
      </c>
      <c r="AM40" s="50">
        <v>50</v>
      </c>
      <c r="AN40" s="50" t="s">
        <v>34</v>
      </c>
      <c r="AO40" s="50" t="s">
        <v>34</v>
      </c>
      <c r="AP40" s="50" t="s">
        <v>34</v>
      </c>
      <c r="AQ40" s="52"/>
    </row>
    <row r="41" spans="1:43" ht="15.75" customHeight="1" x14ac:dyDescent="0.15">
      <c r="A41" s="50">
        <v>417</v>
      </c>
      <c r="B41" s="50" t="s">
        <v>896</v>
      </c>
      <c r="C41" s="50" t="s">
        <v>60</v>
      </c>
      <c r="D41" s="50">
        <v>1109</v>
      </c>
      <c r="E41" s="50" t="s">
        <v>34</v>
      </c>
      <c r="F41" s="50" t="s">
        <v>34</v>
      </c>
      <c r="G41" s="50" t="s">
        <v>34</v>
      </c>
      <c r="H41" s="52"/>
      <c r="I41" s="50" t="s">
        <v>60</v>
      </c>
      <c r="J41" s="50">
        <v>1109</v>
      </c>
      <c r="K41" s="50">
        <v>46</v>
      </c>
      <c r="L41" s="50" t="s">
        <v>2060</v>
      </c>
      <c r="M41" s="50" t="s">
        <v>2061</v>
      </c>
      <c r="N41" s="52" t="s">
        <v>1771</v>
      </c>
      <c r="O41" s="50" t="s">
        <v>60</v>
      </c>
      <c r="P41" s="50">
        <v>1109</v>
      </c>
      <c r="Q41" s="50" t="s">
        <v>2062</v>
      </c>
      <c r="R41" s="50" t="s">
        <v>2063</v>
      </c>
      <c r="S41" s="50" t="s">
        <v>2064</v>
      </c>
      <c r="T41" s="52"/>
      <c r="U41" s="50" t="s">
        <v>60</v>
      </c>
      <c r="V41" s="50">
        <v>1109</v>
      </c>
      <c r="W41" s="50">
        <v>14</v>
      </c>
      <c r="X41" s="50" t="s">
        <v>1989</v>
      </c>
      <c r="Y41" s="50" t="s">
        <v>2065</v>
      </c>
      <c r="Z41" s="50" t="s">
        <v>60</v>
      </c>
      <c r="AA41" s="50">
        <v>1109</v>
      </c>
      <c r="AB41" s="50">
        <v>103</v>
      </c>
      <c r="AC41" s="50" t="s">
        <v>2066</v>
      </c>
      <c r="AD41" s="50" t="s">
        <v>2067</v>
      </c>
      <c r="AE41" s="52" t="s">
        <v>2068</v>
      </c>
      <c r="AF41" s="50" t="s">
        <v>60</v>
      </c>
      <c r="AG41" s="50">
        <v>1109</v>
      </c>
      <c r="AH41" s="50">
        <v>18</v>
      </c>
      <c r="AI41" s="50" t="s">
        <v>2069</v>
      </c>
      <c r="AJ41" s="50" t="s">
        <v>2070</v>
      </c>
      <c r="AK41" s="52" t="s">
        <v>2071</v>
      </c>
      <c r="AL41" s="50" t="s">
        <v>60</v>
      </c>
      <c r="AM41" s="50">
        <v>1109</v>
      </c>
      <c r="AN41" s="50" t="s">
        <v>34</v>
      </c>
      <c r="AO41" s="50" t="s">
        <v>34</v>
      </c>
      <c r="AP41" s="50" t="s">
        <v>34</v>
      </c>
      <c r="AQ41" s="52"/>
    </row>
    <row r="42" spans="1:43" ht="15.75" customHeight="1" x14ac:dyDescent="0.15">
      <c r="A42" s="50">
        <v>417</v>
      </c>
      <c r="B42" s="50" t="s">
        <v>896</v>
      </c>
      <c r="C42" s="52" t="s">
        <v>62</v>
      </c>
      <c r="D42" s="52">
        <v>650</v>
      </c>
      <c r="E42" s="50" t="s">
        <v>34</v>
      </c>
      <c r="F42" s="50" t="s">
        <v>34</v>
      </c>
      <c r="G42" s="50" t="s">
        <v>34</v>
      </c>
      <c r="H42" s="52"/>
      <c r="I42" s="52" t="s">
        <v>62</v>
      </c>
      <c r="J42" s="52">
        <v>650</v>
      </c>
      <c r="K42" s="52">
        <v>31</v>
      </c>
      <c r="L42" s="52"/>
      <c r="M42" s="52"/>
      <c r="N42" s="52"/>
      <c r="O42" s="52" t="s">
        <v>62</v>
      </c>
      <c r="P42" s="52">
        <v>650</v>
      </c>
      <c r="Q42" s="52" t="s">
        <v>2072</v>
      </c>
      <c r="R42" s="52"/>
      <c r="S42" s="52"/>
      <c r="T42" s="52"/>
      <c r="U42" s="52" t="s">
        <v>62</v>
      </c>
      <c r="V42" s="52">
        <v>650</v>
      </c>
      <c r="W42" s="52">
        <v>10</v>
      </c>
      <c r="X42" s="52"/>
      <c r="Y42" s="52"/>
      <c r="Z42" s="52" t="s">
        <v>62</v>
      </c>
      <c r="AA42" s="52">
        <v>650</v>
      </c>
      <c r="AB42" s="52">
        <v>86</v>
      </c>
      <c r="AC42" s="52"/>
      <c r="AD42" s="52"/>
      <c r="AE42" s="52"/>
      <c r="AF42" s="52" t="s">
        <v>62</v>
      </c>
      <c r="AG42" s="52">
        <v>650</v>
      </c>
      <c r="AH42" s="52">
        <v>15</v>
      </c>
      <c r="AI42" s="52"/>
      <c r="AJ42" s="52"/>
      <c r="AK42" s="52"/>
      <c r="AL42" s="52" t="s">
        <v>62</v>
      </c>
      <c r="AM42" s="52">
        <v>650</v>
      </c>
      <c r="AN42" s="50" t="s">
        <v>34</v>
      </c>
      <c r="AO42" s="50" t="s">
        <v>34</v>
      </c>
      <c r="AP42" s="50" t="s">
        <v>34</v>
      </c>
      <c r="AQ42" s="52"/>
    </row>
    <row r="43" spans="1:43" ht="15.75" customHeight="1" x14ac:dyDescent="0.15">
      <c r="A43" s="50">
        <v>997</v>
      </c>
      <c r="B43" s="50" t="s">
        <v>932</v>
      </c>
      <c r="C43" s="50" t="s">
        <v>33</v>
      </c>
      <c r="D43" s="51">
        <v>45008</v>
      </c>
      <c r="E43" s="52" t="s">
        <v>34</v>
      </c>
      <c r="F43" s="52" t="s">
        <v>34</v>
      </c>
      <c r="G43" s="52" t="s">
        <v>34</v>
      </c>
      <c r="H43" s="52"/>
      <c r="I43" s="50" t="s">
        <v>33</v>
      </c>
      <c r="J43" s="51">
        <v>45008</v>
      </c>
      <c r="K43" s="52" t="s">
        <v>34</v>
      </c>
      <c r="L43" s="52" t="s">
        <v>34</v>
      </c>
      <c r="M43" s="52" t="s">
        <v>34</v>
      </c>
      <c r="N43" s="52"/>
      <c r="O43" s="50" t="s">
        <v>33</v>
      </c>
      <c r="P43" s="51">
        <v>45008</v>
      </c>
      <c r="Q43" s="52" t="s">
        <v>34</v>
      </c>
      <c r="R43" s="52" t="s">
        <v>34</v>
      </c>
      <c r="S43" s="52" t="s">
        <v>34</v>
      </c>
      <c r="T43" s="52"/>
      <c r="U43" s="50" t="s">
        <v>33</v>
      </c>
      <c r="V43" s="51">
        <v>45008</v>
      </c>
      <c r="W43" s="52" t="s">
        <v>34</v>
      </c>
      <c r="X43" s="52" t="s">
        <v>34</v>
      </c>
      <c r="Y43" s="52"/>
      <c r="Z43" s="50" t="s">
        <v>33</v>
      </c>
      <c r="AA43" s="51">
        <v>45008</v>
      </c>
      <c r="AB43" s="52" t="s">
        <v>34</v>
      </c>
      <c r="AC43" s="52" t="s">
        <v>34</v>
      </c>
      <c r="AD43" s="52" t="s">
        <v>34</v>
      </c>
      <c r="AE43" s="52"/>
      <c r="AF43" s="50" t="s">
        <v>33</v>
      </c>
      <c r="AG43" s="51">
        <v>45008</v>
      </c>
      <c r="AH43" s="52" t="s">
        <v>34</v>
      </c>
      <c r="AI43" s="52" t="s">
        <v>34</v>
      </c>
      <c r="AJ43" s="52" t="s">
        <v>34</v>
      </c>
      <c r="AK43" s="52"/>
      <c r="AL43" s="50" t="s">
        <v>33</v>
      </c>
      <c r="AM43" s="51">
        <v>45008</v>
      </c>
      <c r="AN43" s="52">
        <v>231</v>
      </c>
      <c r="AO43" s="52" t="s">
        <v>2073</v>
      </c>
      <c r="AP43" s="52" t="s">
        <v>2074</v>
      </c>
      <c r="AQ43" s="52" t="s">
        <v>1799</v>
      </c>
    </row>
    <row r="44" spans="1:43" ht="15.75" customHeight="1" x14ac:dyDescent="0.15">
      <c r="A44" s="50">
        <v>997</v>
      </c>
      <c r="B44" s="50" t="s">
        <v>932</v>
      </c>
      <c r="C44" s="50" t="s">
        <v>46</v>
      </c>
      <c r="D44" s="51">
        <v>152556</v>
      </c>
      <c r="E44" s="52" t="s">
        <v>34</v>
      </c>
      <c r="F44" s="52" t="s">
        <v>34</v>
      </c>
      <c r="G44" s="52" t="s">
        <v>34</v>
      </c>
      <c r="H44" s="52"/>
      <c r="I44" s="50" t="s">
        <v>46</v>
      </c>
      <c r="J44" s="51">
        <v>152556</v>
      </c>
      <c r="K44" s="52" t="s">
        <v>34</v>
      </c>
      <c r="L44" s="52" t="s">
        <v>34</v>
      </c>
      <c r="M44" s="52" t="s">
        <v>34</v>
      </c>
      <c r="N44" s="52"/>
      <c r="O44" s="50" t="s">
        <v>46</v>
      </c>
      <c r="P44" s="51">
        <v>152556</v>
      </c>
      <c r="Q44" s="52" t="s">
        <v>34</v>
      </c>
      <c r="R44" s="52" t="s">
        <v>34</v>
      </c>
      <c r="S44" s="52" t="s">
        <v>34</v>
      </c>
      <c r="T44" s="52"/>
      <c r="U44" s="50" t="s">
        <v>46</v>
      </c>
      <c r="V44" s="51">
        <v>152556</v>
      </c>
      <c r="W44" s="52" t="s">
        <v>34</v>
      </c>
      <c r="X44" s="52" t="s">
        <v>34</v>
      </c>
      <c r="Y44" s="52"/>
      <c r="Z44" s="50" t="s">
        <v>46</v>
      </c>
      <c r="AA44" s="51">
        <v>152556</v>
      </c>
      <c r="AB44" s="52" t="s">
        <v>34</v>
      </c>
      <c r="AC44" s="52" t="s">
        <v>34</v>
      </c>
      <c r="AD44" s="52" t="s">
        <v>34</v>
      </c>
      <c r="AE44" s="52"/>
      <c r="AF44" s="50" t="s">
        <v>46</v>
      </c>
      <c r="AG44" s="51">
        <v>152556</v>
      </c>
      <c r="AH44" s="52" t="s">
        <v>34</v>
      </c>
      <c r="AI44" s="52" t="s">
        <v>34</v>
      </c>
      <c r="AJ44" s="52" t="s">
        <v>34</v>
      </c>
      <c r="AK44" s="52"/>
      <c r="AL44" s="50" t="s">
        <v>46</v>
      </c>
      <c r="AM44" s="51">
        <v>152556</v>
      </c>
      <c r="AN44" s="52">
        <v>939</v>
      </c>
      <c r="AO44" s="52"/>
      <c r="AP44" s="52"/>
      <c r="AQ44" s="52"/>
    </row>
    <row r="45" spans="1:43" ht="15.75" customHeight="1" x14ac:dyDescent="0.15">
      <c r="A45" s="50">
        <v>1778</v>
      </c>
      <c r="B45" s="50" t="s">
        <v>976</v>
      </c>
      <c r="C45" s="50" t="s">
        <v>1800</v>
      </c>
      <c r="D45" s="50" t="s">
        <v>34</v>
      </c>
      <c r="E45" s="50" t="s">
        <v>34</v>
      </c>
      <c r="F45" s="50" t="s">
        <v>34</v>
      </c>
      <c r="G45" s="50" t="s">
        <v>34</v>
      </c>
      <c r="H45" s="52"/>
      <c r="I45" s="50" t="s">
        <v>1800</v>
      </c>
      <c r="J45" s="50">
        <v>685</v>
      </c>
      <c r="K45" s="52">
        <v>51</v>
      </c>
      <c r="L45" s="52"/>
      <c r="M45" s="52"/>
      <c r="N45" s="52"/>
      <c r="O45" s="50" t="s">
        <v>1800</v>
      </c>
      <c r="P45" s="50" t="s">
        <v>34</v>
      </c>
      <c r="Q45" s="50" t="s">
        <v>34</v>
      </c>
      <c r="R45" s="50" t="s">
        <v>34</v>
      </c>
      <c r="S45" s="50" t="s">
        <v>34</v>
      </c>
      <c r="T45" s="52"/>
      <c r="U45" s="50" t="s">
        <v>1800</v>
      </c>
      <c r="V45" s="50" t="s">
        <v>34</v>
      </c>
      <c r="W45" s="50" t="s">
        <v>34</v>
      </c>
      <c r="X45" s="50" t="s">
        <v>34</v>
      </c>
      <c r="Y45" s="52"/>
      <c r="Z45" s="50" t="s">
        <v>1800</v>
      </c>
      <c r="AA45" s="50" t="s">
        <v>34</v>
      </c>
      <c r="AB45" s="50" t="s">
        <v>34</v>
      </c>
      <c r="AC45" s="50" t="s">
        <v>34</v>
      </c>
      <c r="AD45" s="50" t="s">
        <v>34</v>
      </c>
      <c r="AE45" s="52"/>
      <c r="AF45" s="50" t="s">
        <v>1800</v>
      </c>
      <c r="AG45" s="50" t="s">
        <v>34</v>
      </c>
      <c r="AH45" s="50" t="s">
        <v>34</v>
      </c>
      <c r="AI45" s="50" t="s">
        <v>34</v>
      </c>
      <c r="AJ45" s="50" t="s">
        <v>34</v>
      </c>
      <c r="AK45" s="52"/>
      <c r="AL45" s="50" t="s">
        <v>1800</v>
      </c>
      <c r="AM45" s="50" t="s">
        <v>34</v>
      </c>
      <c r="AN45" s="50" t="s">
        <v>34</v>
      </c>
      <c r="AO45" s="50" t="s">
        <v>34</v>
      </c>
      <c r="AP45" s="50" t="s">
        <v>34</v>
      </c>
      <c r="AQ45" s="52"/>
    </row>
    <row r="46" spans="1:43" ht="15.75" customHeight="1" x14ac:dyDescent="0.15">
      <c r="A46" s="50">
        <v>1778</v>
      </c>
      <c r="B46" s="50" t="s">
        <v>976</v>
      </c>
      <c r="C46" s="50" t="s">
        <v>1812</v>
      </c>
      <c r="D46" s="50" t="s">
        <v>34</v>
      </c>
      <c r="E46" s="50" t="s">
        <v>34</v>
      </c>
      <c r="F46" s="50" t="s">
        <v>34</v>
      </c>
      <c r="G46" s="50" t="s">
        <v>34</v>
      </c>
      <c r="H46" s="52"/>
      <c r="I46" s="50" t="s">
        <v>1812</v>
      </c>
      <c r="J46" s="50" t="s">
        <v>34</v>
      </c>
      <c r="K46" s="52" t="s">
        <v>34</v>
      </c>
      <c r="L46" s="52"/>
      <c r="M46" s="52"/>
      <c r="N46" s="52"/>
      <c r="O46" s="50" t="s">
        <v>1812</v>
      </c>
      <c r="P46" s="50" t="s">
        <v>34</v>
      </c>
      <c r="Q46" s="50" t="s">
        <v>34</v>
      </c>
      <c r="R46" s="50" t="s">
        <v>34</v>
      </c>
      <c r="S46" s="50" t="s">
        <v>34</v>
      </c>
      <c r="T46" s="52"/>
      <c r="U46" s="50" t="s">
        <v>1812</v>
      </c>
      <c r="V46" s="50" t="s">
        <v>34</v>
      </c>
      <c r="W46" s="50" t="s">
        <v>34</v>
      </c>
      <c r="X46" s="50" t="s">
        <v>34</v>
      </c>
      <c r="Y46" s="52"/>
      <c r="Z46" s="50" t="s">
        <v>1812</v>
      </c>
      <c r="AA46" s="50" t="s">
        <v>34</v>
      </c>
      <c r="AB46" s="50" t="s">
        <v>34</v>
      </c>
      <c r="AC46" s="50" t="s">
        <v>34</v>
      </c>
      <c r="AD46" s="50" t="s">
        <v>34</v>
      </c>
      <c r="AE46" s="52"/>
      <c r="AF46" s="50" t="s">
        <v>1812</v>
      </c>
      <c r="AG46" s="50" t="s">
        <v>34</v>
      </c>
      <c r="AH46" s="50" t="s">
        <v>34</v>
      </c>
      <c r="AI46" s="50" t="s">
        <v>34</v>
      </c>
      <c r="AJ46" s="50" t="s">
        <v>34</v>
      </c>
      <c r="AK46" s="52"/>
      <c r="AL46" s="50" t="s">
        <v>1812</v>
      </c>
      <c r="AM46" s="50" t="s">
        <v>34</v>
      </c>
      <c r="AN46" s="50" t="s">
        <v>34</v>
      </c>
      <c r="AO46" s="50" t="s">
        <v>34</v>
      </c>
      <c r="AP46" s="50" t="s">
        <v>34</v>
      </c>
      <c r="AQ46" s="52"/>
    </row>
    <row r="47" spans="1:43" ht="15.75" customHeight="1" x14ac:dyDescent="0.15">
      <c r="A47" s="52"/>
      <c r="B47" s="52"/>
      <c r="C47" s="50" t="s">
        <v>62</v>
      </c>
      <c r="D47" s="50" t="s">
        <v>34</v>
      </c>
      <c r="E47" s="50" t="s">
        <v>34</v>
      </c>
      <c r="F47" s="50" t="s">
        <v>34</v>
      </c>
      <c r="G47" s="50" t="s">
        <v>34</v>
      </c>
      <c r="H47" s="52"/>
      <c r="I47" s="50" t="s">
        <v>62</v>
      </c>
      <c r="J47" s="50">
        <v>2369</v>
      </c>
      <c r="K47" s="52">
        <v>232</v>
      </c>
      <c r="L47" s="52"/>
      <c r="M47" s="52"/>
      <c r="N47" s="52"/>
      <c r="O47" s="50" t="s">
        <v>62</v>
      </c>
      <c r="P47" s="50" t="s">
        <v>34</v>
      </c>
      <c r="Q47" s="50" t="s">
        <v>34</v>
      </c>
      <c r="R47" s="50" t="s">
        <v>34</v>
      </c>
      <c r="S47" s="50" t="s">
        <v>34</v>
      </c>
      <c r="T47" s="52"/>
      <c r="U47" s="50" t="s">
        <v>62</v>
      </c>
      <c r="V47" s="50" t="s">
        <v>34</v>
      </c>
      <c r="W47" s="50" t="s">
        <v>34</v>
      </c>
      <c r="X47" s="50" t="s">
        <v>34</v>
      </c>
      <c r="Y47" s="52"/>
      <c r="Z47" s="50" t="s">
        <v>62</v>
      </c>
      <c r="AA47" s="50" t="s">
        <v>34</v>
      </c>
      <c r="AB47" s="50" t="s">
        <v>34</v>
      </c>
      <c r="AC47" s="50" t="s">
        <v>34</v>
      </c>
      <c r="AD47" s="50" t="s">
        <v>34</v>
      </c>
      <c r="AE47" s="52"/>
      <c r="AF47" s="50" t="s">
        <v>62</v>
      </c>
      <c r="AG47" s="50" t="s">
        <v>34</v>
      </c>
      <c r="AH47" s="50" t="s">
        <v>34</v>
      </c>
      <c r="AI47" s="50" t="s">
        <v>34</v>
      </c>
      <c r="AJ47" s="50" t="s">
        <v>34</v>
      </c>
      <c r="AK47" s="52"/>
      <c r="AL47" s="50" t="s">
        <v>62</v>
      </c>
      <c r="AM47" s="50" t="s">
        <v>34</v>
      </c>
      <c r="AN47" s="50" t="s">
        <v>34</v>
      </c>
      <c r="AO47" s="50" t="s">
        <v>34</v>
      </c>
      <c r="AP47" s="50" t="s">
        <v>34</v>
      </c>
      <c r="AQ47" s="52"/>
    </row>
    <row r="48" spans="1:43" ht="15.75" customHeight="1" x14ac:dyDescent="0.15">
      <c r="A48" s="50">
        <v>3105</v>
      </c>
      <c r="B48" s="50" t="s">
        <v>1006</v>
      </c>
      <c r="C48" s="50" t="s">
        <v>33</v>
      </c>
      <c r="D48" s="50">
        <v>70</v>
      </c>
      <c r="E48" s="50" t="s">
        <v>34</v>
      </c>
      <c r="F48" s="50" t="s">
        <v>34</v>
      </c>
      <c r="G48" s="50" t="s">
        <v>34</v>
      </c>
      <c r="H48" s="52"/>
      <c r="I48" s="50" t="s">
        <v>33</v>
      </c>
      <c r="J48" s="50">
        <v>70</v>
      </c>
      <c r="K48" s="50" t="s">
        <v>34</v>
      </c>
      <c r="L48" s="50" t="s">
        <v>34</v>
      </c>
      <c r="M48" s="50" t="s">
        <v>34</v>
      </c>
      <c r="N48" s="52"/>
      <c r="O48" s="50" t="s">
        <v>33</v>
      </c>
      <c r="P48" s="50">
        <v>70</v>
      </c>
      <c r="Q48" s="50" t="s">
        <v>34</v>
      </c>
      <c r="R48" s="50" t="s">
        <v>34</v>
      </c>
      <c r="S48" s="50" t="s">
        <v>34</v>
      </c>
      <c r="T48" s="52"/>
      <c r="U48" s="52" t="s">
        <v>33</v>
      </c>
      <c r="V48" s="52">
        <v>70</v>
      </c>
      <c r="W48" s="52" t="s">
        <v>2075</v>
      </c>
      <c r="X48" s="52" t="s">
        <v>2076</v>
      </c>
      <c r="Y48" s="52"/>
      <c r="Z48" s="50" t="s">
        <v>33</v>
      </c>
      <c r="AA48" s="50">
        <v>70</v>
      </c>
      <c r="AB48" s="50" t="s">
        <v>34</v>
      </c>
      <c r="AC48" s="50" t="s">
        <v>34</v>
      </c>
      <c r="AD48" s="50" t="s">
        <v>34</v>
      </c>
      <c r="AE48" s="52"/>
      <c r="AF48" s="50" t="s">
        <v>33</v>
      </c>
      <c r="AG48" s="50">
        <v>70</v>
      </c>
      <c r="AH48" s="50" t="s">
        <v>34</v>
      </c>
      <c r="AI48" s="50" t="s">
        <v>34</v>
      </c>
      <c r="AJ48" s="50" t="s">
        <v>34</v>
      </c>
      <c r="AK48" s="52"/>
      <c r="AL48" s="50" t="s">
        <v>33</v>
      </c>
      <c r="AM48" s="50">
        <v>70</v>
      </c>
      <c r="AN48" s="50" t="s">
        <v>34</v>
      </c>
      <c r="AO48" s="50" t="s">
        <v>34</v>
      </c>
      <c r="AP48" s="50" t="s">
        <v>34</v>
      </c>
      <c r="AQ48" s="52"/>
    </row>
    <row r="49" spans="1:43" ht="15.75" customHeight="1" x14ac:dyDescent="0.15">
      <c r="A49" s="50">
        <v>3923</v>
      </c>
      <c r="B49" s="50" t="s">
        <v>1033</v>
      </c>
      <c r="C49" s="52" t="s">
        <v>33</v>
      </c>
      <c r="D49" s="52">
        <v>275</v>
      </c>
      <c r="E49" s="52" t="s">
        <v>34</v>
      </c>
      <c r="F49" s="52" t="s">
        <v>34</v>
      </c>
      <c r="G49" s="52" t="s">
        <v>34</v>
      </c>
      <c r="H49" s="52"/>
      <c r="I49" s="52" t="s">
        <v>33</v>
      </c>
      <c r="J49" s="52">
        <v>275</v>
      </c>
      <c r="K49" s="52">
        <v>4</v>
      </c>
      <c r="L49" s="52" t="s">
        <v>34</v>
      </c>
      <c r="M49" s="52" t="s">
        <v>2077</v>
      </c>
      <c r="N49" s="52"/>
      <c r="O49" s="52" t="s">
        <v>33</v>
      </c>
      <c r="P49" s="52">
        <v>104</v>
      </c>
      <c r="Q49" s="52" t="s">
        <v>2078</v>
      </c>
      <c r="R49" s="52" t="s">
        <v>34</v>
      </c>
      <c r="S49" s="50" t="s">
        <v>2079</v>
      </c>
      <c r="T49" s="52" t="s">
        <v>2080</v>
      </c>
      <c r="U49" s="52" t="s">
        <v>33</v>
      </c>
      <c r="V49" s="52">
        <v>107</v>
      </c>
      <c r="W49" s="52" t="s">
        <v>2081</v>
      </c>
      <c r="X49" s="52" t="s">
        <v>1974</v>
      </c>
      <c r="Y49" s="52" t="s">
        <v>2082</v>
      </c>
      <c r="Z49" s="52" t="s">
        <v>33</v>
      </c>
      <c r="AA49" s="52">
        <v>275</v>
      </c>
      <c r="AB49" s="52" t="s">
        <v>34</v>
      </c>
      <c r="AC49" s="52" t="s">
        <v>34</v>
      </c>
      <c r="AD49" s="52" t="s">
        <v>34</v>
      </c>
      <c r="AE49" s="52"/>
      <c r="AF49" s="52" t="s">
        <v>33</v>
      </c>
      <c r="AG49" s="52">
        <v>270</v>
      </c>
      <c r="AH49" s="52">
        <v>2</v>
      </c>
      <c r="AI49" s="52" t="s">
        <v>34</v>
      </c>
      <c r="AJ49" s="52" t="s">
        <v>2083</v>
      </c>
      <c r="AK49" s="52"/>
      <c r="AL49" s="52" t="s">
        <v>33</v>
      </c>
      <c r="AM49" s="52">
        <v>275</v>
      </c>
      <c r="AN49" s="52" t="s">
        <v>34</v>
      </c>
      <c r="AO49" s="52" t="s">
        <v>34</v>
      </c>
      <c r="AP49" s="52" t="s">
        <v>34</v>
      </c>
      <c r="AQ49" s="52"/>
    </row>
    <row r="50" spans="1:43" ht="15.75" customHeight="1" x14ac:dyDescent="0.15">
      <c r="A50" s="50">
        <v>762</v>
      </c>
      <c r="B50" s="50" t="s">
        <v>1057</v>
      </c>
      <c r="C50" s="50" t="s">
        <v>33</v>
      </c>
      <c r="D50" s="50">
        <v>79</v>
      </c>
      <c r="E50" s="52">
        <v>0</v>
      </c>
      <c r="F50" s="52" t="s">
        <v>34</v>
      </c>
      <c r="G50" s="52" t="s">
        <v>2084</v>
      </c>
      <c r="H50" s="52"/>
      <c r="I50" s="50" t="s">
        <v>33</v>
      </c>
      <c r="J50" s="50">
        <v>79</v>
      </c>
      <c r="K50" s="52" t="s">
        <v>2085</v>
      </c>
      <c r="L50" s="52" t="s">
        <v>34</v>
      </c>
      <c r="M50" s="52" t="s">
        <v>2086</v>
      </c>
      <c r="N50" s="52"/>
      <c r="O50" s="50" t="s">
        <v>33</v>
      </c>
      <c r="P50" s="50">
        <v>79</v>
      </c>
      <c r="Q50" s="52">
        <v>0</v>
      </c>
      <c r="R50" s="52" t="s">
        <v>34</v>
      </c>
      <c r="S50" s="52" t="s">
        <v>2087</v>
      </c>
      <c r="T50" s="52"/>
      <c r="U50" s="50" t="s">
        <v>33</v>
      </c>
      <c r="V50" s="50">
        <v>80</v>
      </c>
      <c r="W50" s="52" t="s">
        <v>2088</v>
      </c>
      <c r="X50" s="52" t="s">
        <v>2089</v>
      </c>
      <c r="Y50" s="52"/>
      <c r="Z50" s="50" t="s">
        <v>33</v>
      </c>
      <c r="AA50" s="50">
        <v>80</v>
      </c>
      <c r="AB50" s="52" t="s">
        <v>34</v>
      </c>
      <c r="AC50" s="52" t="s">
        <v>34</v>
      </c>
      <c r="AD50" s="52" t="s">
        <v>34</v>
      </c>
      <c r="AE50" s="52"/>
      <c r="AF50" s="50" t="s">
        <v>33</v>
      </c>
      <c r="AG50" s="50">
        <v>79</v>
      </c>
      <c r="AH50" s="52">
        <v>0</v>
      </c>
      <c r="AI50" s="52" t="s">
        <v>34</v>
      </c>
      <c r="AJ50" s="52" t="s">
        <v>2090</v>
      </c>
      <c r="AK50" s="52"/>
      <c r="AL50" s="50" t="s">
        <v>33</v>
      </c>
      <c r="AM50" s="50">
        <v>80</v>
      </c>
      <c r="AN50" s="52" t="s">
        <v>34</v>
      </c>
      <c r="AO50" s="52" t="s">
        <v>34</v>
      </c>
      <c r="AP50" s="52" t="s">
        <v>34</v>
      </c>
      <c r="AQ50" s="52"/>
    </row>
    <row r="51" spans="1:43" ht="15.75" customHeight="1" x14ac:dyDescent="0.15">
      <c r="A51" s="50">
        <v>3204</v>
      </c>
      <c r="B51" s="50" t="s">
        <v>1122</v>
      </c>
      <c r="C51" s="50" t="s">
        <v>33</v>
      </c>
      <c r="D51" s="50">
        <v>737</v>
      </c>
      <c r="E51" s="50">
        <v>0</v>
      </c>
      <c r="F51" s="50" t="s">
        <v>34</v>
      </c>
      <c r="G51" s="50" t="s">
        <v>34</v>
      </c>
      <c r="H51" s="52" t="s">
        <v>1879</v>
      </c>
      <c r="I51" s="50" t="s">
        <v>33</v>
      </c>
      <c r="J51" s="50">
        <v>737</v>
      </c>
      <c r="K51" s="50" t="s">
        <v>34</v>
      </c>
      <c r="L51" s="50" t="s">
        <v>34</v>
      </c>
      <c r="M51" s="50" t="s">
        <v>34</v>
      </c>
      <c r="N51" s="52"/>
      <c r="O51" s="50" t="s">
        <v>33</v>
      </c>
      <c r="P51" s="50">
        <v>737</v>
      </c>
      <c r="Q51" s="50" t="s">
        <v>34</v>
      </c>
      <c r="R51" s="50" t="s">
        <v>34</v>
      </c>
      <c r="S51" s="50" t="s">
        <v>34</v>
      </c>
      <c r="T51" s="52"/>
      <c r="U51" s="50" t="s">
        <v>33</v>
      </c>
      <c r="V51" s="50">
        <v>737</v>
      </c>
      <c r="W51" s="50" t="s">
        <v>34</v>
      </c>
      <c r="X51" s="50" t="s">
        <v>34</v>
      </c>
      <c r="Y51" s="52"/>
      <c r="Z51" s="50" t="s">
        <v>33</v>
      </c>
      <c r="AA51" s="50">
        <v>737</v>
      </c>
      <c r="AB51" s="50" t="s">
        <v>34</v>
      </c>
      <c r="AC51" s="50" t="s">
        <v>34</v>
      </c>
      <c r="AD51" s="50" t="s">
        <v>34</v>
      </c>
      <c r="AE51" s="52"/>
      <c r="AF51" s="50" t="s">
        <v>33</v>
      </c>
      <c r="AG51" s="50">
        <v>737</v>
      </c>
      <c r="AH51" s="50" t="s">
        <v>34</v>
      </c>
      <c r="AI51" s="50" t="s">
        <v>34</v>
      </c>
      <c r="AJ51" s="50" t="s">
        <v>34</v>
      </c>
      <c r="AK51" s="52"/>
      <c r="AL51" s="50" t="s">
        <v>33</v>
      </c>
      <c r="AM51" s="50">
        <v>737</v>
      </c>
      <c r="AN51" s="50" t="s">
        <v>34</v>
      </c>
      <c r="AO51" s="50" t="s">
        <v>34</v>
      </c>
      <c r="AP51" s="50" t="s">
        <v>34</v>
      </c>
      <c r="AQ51" s="52"/>
    </row>
    <row r="52" spans="1:43" ht="15.75" customHeight="1" x14ac:dyDescent="0.15">
      <c r="A52" s="56">
        <v>4126</v>
      </c>
      <c r="B52" s="56" t="s">
        <v>539</v>
      </c>
      <c r="C52" s="50" t="s">
        <v>33</v>
      </c>
      <c r="D52" s="50">
        <v>243</v>
      </c>
      <c r="E52" s="50" t="s">
        <v>34</v>
      </c>
      <c r="F52" s="50" t="s">
        <v>34</v>
      </c>
      <c r="G52" s="50" t="s">
        <v>34</v>
      </c>
      <c r="H52" s="52"/>
      <c r="I52" s="50" t="s">
        <v>33</v>
      </c>
      <c r="J52" s="50">
        <v>243</v>
      </c>
      <c r="K52" s="50" t="s">
        <v>34</v>
      </c>
      <c r="L52" s="50" t="s">
        <v>34</v>
      </c>
      <c r="M52" s="50" t="s">
        <v>34</v>
      </c>
      <c r="N52" s="52"/>
      <c r="O52" s="50" t="s">
        <v>33</v>
      </c>
      <c r="P52" s="50">
        <v>243</v>
      </c>
      <c r="Q52" s="50" t="s">
        <v>34</v>
      </c>
      <c r="R52" s="50" t="s">
        <v>34</v>
      </c>
      <c r="S52" s="50" t="s">
        <v>34</v>
      </c>
      <c r="T52" s="52"/>
      <c r="U52" s="50" t="s">
        <v>33</v>
      </c>
      <c r="V52" s="50">
        <v>243</v>
      </c>
      <c r="W52" s="52">
        <v>10</v>
      </c>
      <c r="X52" s="52" t="s">
        <v>2091</v>
      </c>
      <c r="Y52" s="52" t="s">
        <v>2092</v>
      </c>
      <c r="Z52" s="50" t="s">
        <v>33</v>
      </c>
      <c r="AA52" s="50">
        <v>243</v>
      </c>
      <c r="AB52" s="50" t="s">
        <v>34</v>
      </c>
      <c r="AC52" s="50" t="s">
        <v>34</v>
      </c>
      <c r="AD52" s="50" t="s">
        <v>34</v>
      </c>
      <c r="AE52" s="52"/>
      <c r="AF52" s="50" t="s">
        <v>33</v>
      </c>
      <c r="AG52" s="50">
        <v>243</v>
      </c>
      <c r="AH52" s="50" t="s">
        <v>34</v>
      </c>
      <c r="AI52" s="50" t="s">
        <v>34</v>
      </c>
      <c r="AJ52" s="50" t="s">
        <v>34</v>
      </c>
      <c r="AK52" s="52"/>
      <c r="AL52" s="50" t="s">
        <v>33</v>
      </c>
      <c r="AM52" s="50">
        <v>243</v>
      </c>
      <c r="AN52" s="50" t="s">
        <v>34</v>
      </c>
      <c r="AO52" s="50" t="s">
        <v>34</v>
      </c>
      <c r="AP52" s="50" t="s">
        <v>34</v>
      </c>
      <c r="AQ52" s="52"/>
    </row>
    <row r="53" spans="1:43" ht="15.75" customHeight="1" x14ac:dyDescent="0.15">
      <c r="A53" s="56">
        <v>4126</v>
      </c>
      <c r="B53" s="56" t="s">
        <v>539</v>
      </c>
      <c r="C53" s="50" t="s">
        <v>46</v>
      </c>
      <c r="D53" s="50">
        <v>75</v>
      </c>
      <c r="E53" s="52" t="s">
        <v>34</v>
      </c>
      <c r="F53" s="52" t="s">
        <v>34</v>
      </c>
      <c r="G53" s="52" t="s">
        <v>34</v>
      </c>
      <c r="H53" s="52"/>
      <c r="I53" s="50" t="s">
        <v>46</v>
      </c>
      <c r="J53" s="50">
        <v>75</v>
      </c>
      <c r="K53" s="52" t="s">
        <v>34</v>
      </c>
      <c r="L53" s="52" t="s">
        <v>34</v>
      </c>
      <c r="M53" s="52" t="s">
        <v>34</v>
      </c>
      <c r="N53" s="52"/>
      <c r="O53" s="50" t="s">
        <v>46</v>
      </c>
      <c r="P53" s="50">
        <v>75</v>
      </c>
      <c r="Q53" s="52" t="s">
        <v>34</v>
      </c>
      <c r="R53" s="52" t="s">
        <v>34</v>
      </c>
      <c r="S53" s="52" t="s">
        <v>34</v>
      </c>
      <c r="T53" s="52"/>
      <c r="U53" s="50" t="s">
        <v>46</v>
      </c>
      <c r="V53" s="50">
        <v>75</v>
      </c>
      <c r="W53" s="52">
        <v>6</v>
      </c>
      <c r="X53" s="52"/>
      <c r="Y53" s="52"/>
      <c r="Z53" s="50" t="s">
        <v>46</v>
      </c>
      <c r="AA53" s="50">
        <v>75</v>
      </c>
      <c r="AB53" s="52" t="s">
        <v>34</v>
      </c>
      <c r="AC53" s="52" t="s">
        <v>34</v>
      </c>
      <c r="AD53" s="52" t="s">
        <v>34</v>
      </c>
      <c r="AE53" s="52"/>
      <c r="AF53" s="50" t="s">
        <v>46</v>
      </c>
      <c r="AG53" s="50">
        <v>75</v>
      </c>
      <c r="AH53" s="52" t="s">
        <v>34</v>
      </c>
      <c r="AI53" s="52" t="s">
        <v>34</v>
      </c>
      <c r="AJ53" s="52" t="s">
        <v>34</v>
      </c>
      <c r="AK53" s="52"/>
      <c r="AL53" s="50" t="s">
        <v>46</v>
      </c>
      <c r="AM53" s="50">
        <v>75</v>
      </c>
      <c r="AN53" s="52" t="s">
        <v>34</v>
      </c>
      <c r="AO53" s="52" t="s">
        <v>34</v>
      </c>
      <c r="AP53" s="52" t="s">
        <v>34</v>
      </c>
      <c r="AQ53" s="52"/>
    </row>
    <row r="54" spans="1:43" ht="15.75" customHeight="1" x14ac:dyDescent="0.15">
      <c r="A54" s="52">
        <v>2177</v>
      </c>
      <c r="B54" s="52" t="s">
        <v>1074</v>
      </c>
      <c r="C54" s="50" t="s">
        <v>1082</v>
      </c>
      <c r="D54" s="52">
        <v>250</v>
      </c>
      <c r="E54" s="52" t="s">
        <v>34</v>
      </c>
      <c r="F54" s="52" t="s">
        <v>34</v>
      </c>
      <c r="G54" s="52" t="s">
        <v>34</v>
      </c>
      <c r="H54" s="52"/>
      <c r="I54" s="50" t="s">
        <v>1082</v>
      </c>
      <c r="J54" s="52">
        <v>250</v>
      </c>
      <c r="K54" s="52" t="s">
        <v>34</v>
      </c>
      <c r="L54" s="52" t="s">
        <v>34</v>
      </c>
      <c r="M54" s="52" t="s">
        <v>34</v>
      </c>
      <c r="N54" s="52"/>
      <c r="O54" s="50" t="s">
        <v>1082</v>
      </c>
      <c r="P54" s="52">
        <v>250</v>
      </c>
      <c r="Q54" s="52" t="s">
        <v>34</v>
      </c>
      <c r="R54" s="52" t="s">
        <v>34</v>
      </c>
      <c r="S54" s="52" t="s">
        <v>34</v>
      </c>
      <c r="T54" s="52"/>
      <c r="U54" s="50" t="s">
        <v>1082</v>
      </c>
      <c r="V54" s="52">
        <v>250</v>
      </c>
      <c r="W54" s="52" t="s">
        <v>34</v>
      </c>
      <c r="X54" s="52" t="s">
        <v>34</v>
      </c>
      <c r="Y54" s="52" t="s">
        <v>34</v>
      </c>
      <c r="Z54" s="50" t="s">
        <v>1082</v>
      </c>
      <c r="AA54" s="52">
        <v>250</v>
      </c>
      <c r="AB54" s="52" t="s">
        <v>34</v>
      </c>
      <c r="AC54" s="52" t="s">
        <v>34</v>
      </c>
      <c r="AD54" s="52" t="s">
        <v>34</v>
      </c>
      <c r="AE54" s="52"/>
      <c r="AF54" s="50" t="s">
        <v>1082</v>
      </c>
      <c r="AG54" s="50">
        <v>250</v>
      </c>
      <c r="AH54" s="52">
        <v>3</v>
      </c>
      <c r="AI54" s="52"/>
      <c r="AJ54" s="52" t="s">
        <v>2093</v>
      </c>
      <c r="AK54" s="52"/>
      <c r="AL54" s="50" t="s">
        <v>1082</v>
      </c>
      <c r="AM54" s="52">
        <v>250</v>
      </c>
      <c r="AN54" s="52" t="s">
        <v>34</v>
      </c>
      <c r="AO54" s="52" t="s">
        <v>34</v>
      </c>
      <c r="AP54" s="52" t="s">
        <v>34</v>
      </c>
      <c r="AQ54" s="52"/>
    </row>
    <row r="55" spans="1:43" ht="15.75" customHeight="1" x14ac:dyDescent="0.15">
      <c r="A55" s="52">
        <v>2177</v>
      </c>
      <c r="B55" s="52" t="s">
        <v>1074</v>
      </c>
      <c r="C55" s="50" t="s">
        <v>1086</v>
      </c>
      <c r="D55" s="52">
        <v>89</v>
      </c>
      <c r="E55" s="52" t="s">
        <v>34</v>
      </c>
      <c r="F55" s="52" t="s">
        <v>34</v>
      </c>
      <c r="G55" s="52" t="s">
        <v>34</v>
      </c>
      <c r="H55" s="52"/>
      <c r="I55" s="50" t="s">
        <v>1086</v>
      </c>
      <c r="J55" s="52">
        <v>89</v>
      </c>
      <c r="K55" s="52" t="s">
        <v>34</v>
      </c>
      <c r="L55" s="52" t="s">
        <v>34</v>
      </c>
      <c r="M55" s="52" t="s">
        <v>34</v>
      </c>
      <c r="N55" s="52"/>
      <c r="O55" s="50" t="s">
        <v>1086</v>
      </c>
      <c r="P55" s="52">
        <v>89</v>
      </c>
      <c r="Q55" s="52" t="s">
        <v>34</v>
      </c>
      <c r="R55" s="52" t="s">
        <v>34</v>
      </c>
      <c r="S55" s="52" t="s">
        <v>34</v>
      </c>
      <c r="T55" s="52"/>
      <c r="U55" s="50" t="s">
        <v>1086</v>
      </c>
      <c r="V55" s="52">
        <v>89</v>
      </c>
      <c r="W55" s="52" t="s">
        <v>34</v>
      </c>
      <c r="X55" s="52" t="s">
        <v>34</v>
      </c>
      <c r="Y55" s="52" t="s">
        <v>34</v>
      </c>
      <c r="Z55" s="50" t="s">
        <v>1086</v>
      </c>
      <c r="AA55" s="52">
        <v>89</v>
      </c>
      <c r="AB55" s="52" t="s">
        <v>34</v>
      </c>
      <c r="AC55" s="52" t="s">
        <v>34</v>
      </c>
      <c r="AD55" s="52" t="s">
        <v>34</v>
      </c>
      <c r="AE55" s="52"/>
      <c r="AF55" s="50" t="s">
        <v>1086</v>
      </c>
      <c r="AG55" s="50">
        <v>89</v>
      </c>
      <c r="AH55" s="52">
        <v>1</v>
      </c>
      <c r="AI55" s="52"/>
      <c r="AJ55" s="52" t="s">
        <v>2094</v>
      </c>
      <c r="AK55" s="52" t="s">
        <v>2095</v>
      </c>
      <c r="AL55" s="50" t="s">
        <v>1086</v>
      </c>
      <c r="AM55" s="52">
        <v>89</v>
      </c>
      <c r="AN55" s="52" t="s">
        <v>34</v>
      </c>
      <c r="AO55" s="52" t="s">
        <v>34</v>
      </c>
      <c r="AP55" s="52" t="s">
        <v>34</v>
      </c>
      <c r="AQ55" s="52"/>
    </row>
    <row r="56" spans="1:43" ht="15.75" customHeight="1" x14ac:dyDescent="0.15">
      <c r="A56" s="52">
        <v>1667</v>
      </c>
      <c r="B56" s="52" t="s">
        <v>217</v>
      </c>
      <c r="C56" s="50" t="s">
        <v>33</v>
      </c>
      <c r="D56" s="51">
        <v>745</v>
      </c>
      <c r="E56" s="52">
        <v>5</v>
      </c>
      <c r="F56" s="52" t="s">
        <v>34</v>
      </c>
      <c r="G56" s="52" t="s">
        <v>34</v>
      </c>
      <c r="H56" s="52" t="s">
        <v>2096</v>
      </c>
      <c r="I56" s="50" t="s">
        <v>33</v>
      </c>
      <c r="J56" s="51"/>
      <c r="K56" s="52" t="s">
        <v>34</v>
      </c>
      <c r="L56" s="52" t="s">
        <v>34</v>
      </c>
      <c r="M56" s="52" t="s">
        <v>34</v>
      </c>
      <c r="N56" s="52"/>
      <c r="O56" s="50" t="s">
        <v>33</v>
      </c>
      <c r="P56" s="53"/>
      <c r="Q56" s="52" t="s">
        <v>34</v>
      </c>
      <c r="R56" s="52" t="s">
        <v>34</v>
      </c>
      <c r="S56" s="52" t="s">
        <v>34</v>
      </c>
      <c r="T56" s="52"/>
      <c r="U56" s="50" t="s">
        <v>33</v>
      </c>
      <c r="V56" s="53"/>
      <c r="W56" s="52" t="s">
        <v>34</v>
      </c>
      <c r="X56" s="52" t="s">
        <v>34</v>
      </c>
      <c r="Y56" s="52"/>
      <c r="Z56" s="50" t="s">
        <v>33</v>
      </c>
      <c r="AA56" s="53"/>
      <c r="AB56" s="52" t="s">
        <v>34</v>
      </c>
      <c r="AC56" s="52" t="s">
        <v>34</v>
      </c>
      <c r="AD56" s="52" t="s">
        <v>34</v>
      </c>
      <c r="AE56" s="52"/>
      <c r="AF56" s="50" t="s">
        <v>33</v>
      </c>
      <c r="AG56" s="53"/>
      <c r="AH56" s="52" t="s">
        <v>34</v>
      </c>
      <c r="AI56" s="52" t="s">
        <v>34</v>
      </c>
      <c r="AJ56" s="52" t="s">
        <v>34</v>
      </c>
      <c r="AK56" s="52"/>
      <c r="AL56" s="50" t="s">
        <v>33</v>
      </c>
      <c r="AM56" s="53"/>
      <c r="AN56" s="52" t="s">
        <v>34</v>
      </c>
      <c r="AO56" s="52" t="s">
        <v>34</v>
      </c>
      <c r="AP56" s="52" t="s">
        <v>34</v>
      </c>
      <c r="AQ56" s="52"/>
    </row>
    <row r="57" spans="1:43" ht="15.75" customHeight="1" x14ac:dyDescent="0.15">
      <c r="A57" s="52">
        <v>1667</v>
      </c>
      <c r="B57" s="52" t="s">
        <v>217</v>
      </c>
      <c r="C57" s="50" t="s">
        <v>46</v>
      </c>
      <c r="D57" s="51">
        <v>260</v>
      </c>
      <c r="E57" s="52">
        <v>2</v>
      </c>
      <c r="F57" s="52" t="s">
        <v>34</v>
      </c>
      <c r="G57" s="52" t="s">
        <v>34</v>
      </c>
      <c r="H57" s="52"/>
      <c r="I57" s="50" t="s">
        <v>46</v>
      </c>
      <c r="J57" s="51"/>
      <c r="K57" s="52" t="s">
        <v>34</v>
      </c>
      <c r="L57" s="52" t="s">
        <v>34</v>
      </c>
      <c r="M57" s="52" t="s">
        <v>34</v>
      </c>
      <c r="N57" s="52"/>
      <c r="O57" s="50" t="s">
        <v>46</v>
      </c>
      <c r="P57" s="53"/>
      <c r="Q57" s="52" t="s">
        <v>34</v>
      </c>
      <c r="R57" s="52" t="s">
        <v>34</v>
      </c>
      <c r="S57" s="52" t="s">
        <v>34</v>
      </c>
      <c r="T57" s="52"/>
      <c r="U57" s="50" t="s">
        <v>46</v>
      </c>
      <c r="V57" s="53"/>
      <c r="W57" s="52" t="s">
        <v>34</v>
      </c>
      <c r="X57" s="52" t="s">
        <v>34</v>
      </c>
      <c r="Y57" s="52"/>
      <c r="Z57" s="50" t="s">
        <v>46</v>
      </c>
      <c r="AA57" s="53"/>
      <c r="AB57" s="52" t="s">
        <v>34</v>
      </c>
      <c r="AC57" s="52" t="s">
        <v>34</v>
      </c>
      <c r="AD57" s="52" t="s">
        <v>34</v>
      </c>
      <c r="AE57" s="52"/>
      <c r="AF57" s="50" t="s">
        <v>46</v>
      </c>
      <c r="AG57" s="53"/>
      <c r="AH57" s="52" t="s">
        <v>34</v>
      </c>
      <c r="AI57" s="52" t="s">
        <v>34</v>
      </c>
      <c r="AJ57" s="52" t="s">
        <v>34</v>
      </c>
      <c r="AK57" s="52"/>
      <c r="AL57" s="50" t="s">
        <v>46</v>
      </c>
      <c r="AM57" s="53"/>
      <c r="AN57" s="52" t="s">
        <v>34</v>
      </c>
      <c r="AO57" s="52" t="s">
        <v>34</v>
      </c>
      <c r="AP57" s="52" t="s">
        <v>34</v>
      </c>
      <c r="AQ57" s="52"/>
    </row>
    <row r="58" spans="1:43" ht="93" customHeight="1" x14ac:dyDescent="0.15">
      <c r="A58" s="50">
        <v>2002</v>
      </c>
      <c r="B58" s="50" t="s">
        <v>1160</v>
      </c>
      <c r="C58" s="50" t="s">
        <v>33</v>
      </c>
      <c r="D58" s="50">
        <v>909</v>
      </c>
      <c r="E58" s="50" t="s">
        <v>34</v>
      </c>
      <c r="F58" s="50" t="s">
        <v>34</v>
      </c>
      <c r="G58" s="50" t="s">
        <v>34</v>
      </c>
      <c r="H58" s="52"/>
      <c r="I58" s="50" t="str">
        <f t="shared" ref="I58:J58" si="42">C58</f>
        <v>Tdap</v>
      </c>
      <c r="J58" s="50">
        <f t="shared" si="42"/>
        <v>909</v>
      </c>
      <c r="K58" s="50" t="s">
        <v>34</v>
      </c>
      <c r="L58" s="50" t="s">
        <v>34</v>
      </c>
      <c r="M58" s="50" t="s">
        <v>34</v>
      </c>
      <c r="N58" s="52"/>
      <c r="O58" s="50" t="str">
        <f t="shared" ref="O58:P58" si="43">I58</f>
        <v>Tdap</v>
      </c>
      <c r="P58" s="50">
        <f t="shared" si="43"/>
        <v>909</v>
      </c>
      <c r="Q58" s="50" t="s">
        <v>34</v>
      </c>
      <c r="R58" s="50" t="s">
        <v>34</v>
      </c>
      <c r="S58" s="50" t="s">
        <v>34</v>
      </c>
      <c r="T58" s="52"/>
      <c r="U58" s="50" t="str">
        <f t="shared" ref="U58:V58" si="44">O58</f>
        <v>Tdap</v>
      </c>
      <c r="V58" s="50">
        <f t="shared" si="44"/>
        <v>909</v>
      </c>
      <c r="W58" s="50" t="s">
        <v>34</v>
      </c>
      <c r="X58" s="50" t="s">
        <v>34</v>
      </c>
      <c r="Y58" s="52"/>
      <c r="Z58" s="50" t="str">
        <f t="shared" ref="Z58:AA58" si="45">U58</f>
        <v>Tdap</v>
      </c>
      <c r="AA58" s="50">
        <f t="shared" si="45"/>
        <v>909</v>
      </c>
      <c r="AB58" s="50" t="s">
        <v>34</v>
      </c>
      <c r="AC58" s="50" t="s">
        <v>34</v>
      </c>
      <c r="AD58" s="50" t="s">
        <v>34</v>
      </c>
      <c r="AE58" s="52"/>
      <c r="AF58" s="50" t="str">
        <f t="shared" ref="AF58:AG58" si="46">Z58</f>
        <v>Tdap</v>
      </c>
      <c r="AG58" s="50">
        <f t="shared" si="46"/>
        <v>909</v>
      </c>
      <c r="AH58" s="50" t="s">
        <v>2097</v>
      </c>
      <c r="AI58" s="50" t="s">
        <v>34</v>
      </c>
      <c r="AJ58" s="50" t="s">
        <v>34</v>
      </c>
      <c r="AK58" s="52"/>
      <c r="AL58" s="50" t="str">
        <f t="shared" ref="AL58:AM58" si="47">AF58</f>
        <v>Tdap</v>
      </c>
      <c r="AM58" s="50">
        <f t="shared" si="47"/>
        <v>909</v>
      </c>
      <c r="AN58" s="50" t="s">
        <v>34</v>
      </c>
      <c r="AO58" s="50" t="s">
        <v>34</v>
      </c>
      <c r="AP58" s="50" t="s">
        <v>34</v>
      </c>
      <c r="AQ58" s="52"/>
    </row>
    <row r="59" spans="1:43" ht="15.75" customHeight="1" x14ac:dyDescent="0.15">
      <c r="A59" s="50">
        <v>2002</v>
      </c>
      <c r="B59" s="50" t="s">
        <v>1160</v>
      </c>
      <c r="C59" s="50" t="s">
        <v>46</v>
      </c>
      <c r="D59" s="50">
        <v>4822</v>
      </c>
      <c r="E59" s="50" t="s">
        <v>34</v>
      </c>
      <c r="F59" s="50" t="s">
        <v>34</v>
      </c>
      <c r="G59" s="50" t="s">
        <v>34</v>
      </c>
      <c r="H59" s="52"/>
      <c r="I59" s="50" t="str">
        <f t="shared" ref="I59:J59" si="48">C59</f>
        <v>No Tdap</v>
      </c>
      <c r="J59" s="50">
        <f t="shared" si="48"/>
        <v>4822</v>
      </c>
      <c r="K59" s="50" t="s">
        <v>34</v>
      </c>
      <c r="L59" s="50" t="s">
        <v>34</v>
      </c>
      <c r="M59" s="50" t="s">
        <v>34</v>
      </c>
      <c r="N59" s="52"/>
      <c r="O59" s="50" t="str">
        <f t="shared" ref="O59:P59" si="49">I59</f>
        <v>No Tdap</v>
      </c>
      <c r="P59" s="50">
        <f t="shared" si="49"/>
        <v>4822</v>
      </c>
      <c r="Q59" s="50" t="s">
        <v>34</v>
      </c>
      <c r="R59" s="50" t="s">
        <v>34</v>
      </c>
      <c r="S59" s="50" t="s">
        <v>34</v>
      </c>
      <c r="T59" s="52"/>
      <c r="U59" s="50" t="str">
        <f t="shared" ref="U59:V59" si="50">O59</f>
        <v>No Tdap</v>
      </c>
      <c r="V59" s="50">
        <f t="shared" si="50"/>
        <v>4822</v>
      </c>
      <c r="W59" s="50" t="s">
        <v>34</v>
      </c>
      <c r="X59" s="50" t="s">
        <v>34</v>
      </c>
      <c r="Y59" s="52"/>
      <c r="Z59" s="50" t="str">
        <f t="shared" ref="Z59:AA59" si="51">U59</f>
        <v>No Tdap</v>
      </c>
      <c r="AA59" s="50">
        <f t="shared" si="51"/>
        <v>4822</v>
      </c>
      <c r="AB59" s="50" t="s">
        <v>34</v>
      </c>
      <c r="AC59" s="50" t="s">
        <v>34</v>
      </c>
      <c r="AD59" s="50" t="s">
        <v>34</v>
      </c>
      <c r="AE59" s="52"/>
      <c r="AF59" s="50" t="str">
        <f t="shared" ref="AF59:AG59" si="52">Z59</f>
        <v>No Tdap</v>
      </c>
      <c r="AG59" s="50">
        <f t="shared" si="52"/>
        <v>4822</v>
      </c>
      <c r="AH59" s="50" t="s">
        <v>2098</v>
      </c>
      <c r="AI59" s="50" t="s">
        <v>34</v>
      </c>
      <c r="AJ59" s="50" t="s">
        <v>34</v>
      </c>
      <c r="AK59" s="52"/>
      <c r="AL59" s="50" t="str">
        <f t="shared" ref="AL59:AM59" si="53">AF59</f>
        <v>No Tdap</v>
      </c>
      <c r="AM59" s="50">
        <f t="shared" si="53"/>
        <v>4822</v>
      </c>
      <c r="AN59" s="50" t="s">
        <v>34</v>
      </c>
      <c r="AO59" s="50" t="s">
        <v>34</v>
      </c>
      <c r="AP59" s="50" t="s">
        <v>34</v>
      </c>
      <c r="AQ59" s="52"/>
    </row>
    <row r="60" spans="1:43" ht="39.75" customHeight="1" x14ac:dyDescent="0.15">
      <c r="A60" s="50">
        <v>1550</v>
      </c>
      <c r="B60" s="50" t="s">
        <v>824</v>
      </c>
      <c r="C60" s="50" t="s">
        <v>33</v>
      </c>
      <c r="D60" s="50">
        <v>126</v>
      </c>
      <c r="E60" s="50">
        <v>3</v>
      </c>
      <c r="F60" s="50" t="s">
        <v>34</v>
      </c>
      <c r="G60" s="50" t="s">
        <v>2099</v>
      </c>
      <c r="H60" s="52"/>
      <c r="I60" s="50" t="s">
        <v>33</v>
      </c>
      <c r="J60" s="50">
        <v>126</v>
      </c>
      <c r="K60" s="50" t="s">
        <v>34</v>
      </c>
      <c r="L60" s="50" t="s">
        <v>34</v>
      </c>
      <c r="M60" s="50" t="s">
        <v>34</v>
      </c>
      <c r="N60" s="52"/>
      <c r="O60" s="50" t="s">
        <v>33</v>
      </c>
      <c r="P60" s="50">
        <v>126</v>
      </c>
      <c r="Q60" s="50" t="s">
        <v>34</v>
      </c>
      <c r="R60" s="50" t="s">
        <v>34</v>
      </c>
      <c r="S60" s="50" t="s">
        <v>34</v>
      </c>
      <c r="T60" s="52"/>
      <c r="U60" s="50" t="s">
        <v>33</v>
      </c>
      <c r="V60" s="50">
        <v>126</v>
      </c>
      <c r="W60" s="50" t="s">
        <v>34</v>
      </c>
      <c r="X60" s="50" t="s">
        <v>34</v>
      </c>
      <c r="Y60" s="50"/>
      <c r="Z60" s="50" t="s">
        <v>33</v>
      </c>
      <c r="AA60" s="50">
        <v>126</v>
      </c>
      <c r="AB60" s="50" t="s">
        <v>34</v>
      </c>
      <c r="AC60" s="50" t="s">
        <v>34</v>
      </c>
      <c r="AD60" s="50" t="s">
        <v>34</v>
      </c>
      <c r="AE60" s="52"/>
      <c r="AF60" s="50" t="s">
        <v>33</v>
      </c>
      <c r="AG60" s="50">
        <v>126</v>
      </c>
      <c r="AH60" s="50" t="s">
        <v>2100</v>
      </c>
      <c r="AI60" s="50" t="s">
        <v>34</v>
      </c>
      <c r="AJ60" s="50" t="s">
        <v>2101</v>
      </c>
      <c r="AK60" s="50" t="s">
        <v>2102</v>
      </c>
      <c r="AL60" s="50" t="s">
        <v>33</v>
      </c>
      <c r="AM60" s="50">
        <v>126</v>
      </c>
      <c r="AN60" s="52" t="s">
        <v>34</v>
      </c>
      <c r="AO60" s="52" t="s">
        <v>34</v>
      </c>
      <c r="AP60" s="52" t="s">
        <v>34</v>
      </c>
      <c r="AQ60" s="52"/>
    </row>
    <row r="61" spans="1:43" ht="48" customHeight="1" x14ac:dyDescent="0.15">
      <c r="A61" s="50">
        <v>1550</v>
      </c>
      <c r="B61" s="50" t="s">
        <v>824</v>
      </c>
      <c r="C61" s="50" t="s">
        <v>844</v>
      </c>
      <c r="D61" s="50">
        <v>66</v>
      </c>
      <c r="E61" s="50">
        <v>2</v>
      </c>
      <c r="F61" s="50" t="s">
        <v>55</v>
      </c>
      <c r="G61" s="50" t="s">
        <v>2103</v>
      </c>
      <c r="H61" s="52"/>
      <c r="I61" s="50" t="s">
        <v>844</v>
      </c>
      <c r="J61" s="50">
        <v>66</v>
      </c>
      <c r="K61" s="50" t="s">
        <v>34</v>
      </c>
      <c r="L61" s="50" t="s">
        <v>34</v>
      </c>
      <c r="M61" s="50" t="s">
        <v>34</v>
      </c>
      <c r="N61" s="52"/>
      <c r="O61" s="50" t="s">
        <v>844</v>
      </c>
      <c r="P61" s="50">
        <v>66</v>
      </c>
      <c r="Q61" s="50" t="s">
        <v>34</v>
      </c>
      <c r="R61" s="50" t="s">
        <v>34</v>
      </c>
      <c r="S61" s="50" t="s">
        <v>34</v>
      </c>
      <c r="T61" s="52"/>
      <c r="U61" s="50" t="s">
        <v>844</v>
      </c>
      <c r="V61" s="50">
        <v>66</v>
      </c>
      <c r="W61" s="50" t="s">
        <v>34</v>
      </c>
      <c r="X61" s="50" t="s">
        <v>34</v>
      </c>
      <c r="Y61" s="50"/>
      <c r="Z61" s="50" t="s">
        <v>844</v>
      </c>
      <c r="AA61" s="50">
        <v>66</v>
      </c>
      <c r="AB61" s="50" t="s">
        <v>34</v>
      </c>
      <c r="AC61" s="50" t="s">
        <v>34</v>
      </c>
      <c r="AD61" s="50" t="s">
        <v>34</v>
      </c>
      <c r="AE61" s="52"/>
      <c r="AF61" s="50" t="s">
        <v>844</v>
      </c>
      <c r="AG61" s="50">
        <v>66</v>
      </c>
      <c r="AH61" s="52">
        <v>0</v>
      </c>
      <c r="AI61" s="52" t="s">
        <v>34</v>
      </c>
      <c r="AJ61" s="52" t="s">
        <v>34</v>
      </c>
      <c r="AK61" s="52"/>
      <c r="AL61" s="50" t="s">
        <v>844</v>
      </c>
      <c r="AM61" s="50">
        <v>66</v>
      </c>
      <c r="AN61" s="52" t="s">
        <v>34</v>
      </c>
      <c r="AO61" s="52" t="s">
        <v>34</v>
      </c>
      <c r="AP61" s="52" t="s">
        <v>34</v>
      </c>
      <c r="AQ61" s="52"/>
    </row>
    <row r="62" spans="1:43" ht="15.75" customHeight="1" x14ac:dyDescent="0.15">
      <c r="A62" s="50">
        <v>375</v>
      </c>
      <c r="B62" s="50" t="s">
        <v>634</v>
      </c>
      <c r="C62" s="50" t="s">
        <v>33</v>
      </c>
      <c r="D62" s="52">
        <v>41781</v>
      </c>
      <c r="E62" s="50" t="s">
        <v>34</v>
      </c>
      <c r="F62" s="50" t="s">
        <v>34</v>
      </c>
      <c r="G62" s="50" t="s">
        <v>34</v>
      </c>
      <c r="H62" s="52"/>
      <c r="I62" s="50" t="s">
        <v>33</v>
      </c>
      <c r="J62" s="52">
        <v>41781</v>
      </c>
      <c r="K62" s="50" t="s">
        <v>34</v>
      </c>
      <c r="L62" s="50" t="s">
        <v>34</v>
      </c>
      <c r="M62" s="50" t="s">
        <v>34</v>
      </c>
      <c r="N62" s="52"/>
      <c r="O62" s="50" t="s">
        <v>33</v>
      </c>
      <c r="P62" s="52">
        <v>41781</v>
      </c>
      <c r="Q62" s="50" t="s">
        <v>34</v>
      </c>
      <c r="R62" s="50" t="s">
        <v>34</v>
      </c>
      <c r="S62" s="50" t="s">
        <v>34</v>
      </c>
      <c r="T62" s="52"/>
      <c r="U62" s="50" t="s">
        <v>33</v>
      </c>
      <c r="V62" s="52">
        <v>41781</v>
      </c>
      <c r="W62" s="50" t="s">
        <v>34</v>
      </c>
      <c r="X62" s="50" t="s">
        <v>34</v>
      </c>
      <c r="Y62" s="50"/>
      <c r="Z62" s="50" t="s">
        <v>33</v>
      </c>
      <c r="AA62" s="52">
        <v>41781</v>
      </c>
      <c r="AB62" s="50" t="s">
        <v>34</v>
      </c>
      <c r="AC62" s="50" t="s">
        <v>34</v>
      </c>
      <c r="AD62" s="50" t="s">
        <v>34</v>
      </c>
      <c r="AE62" s="52"/>
      <c r="AF62" s="50" t="s">
        <v>33</v>
      </c>
      <c r="AG62" s="52">
        <v>41781</v>
      </c>
      <c r="AH62" s="52">
        <v>351</v>
      </c>
      <c r="AI62" s="52" t="s">
        <v>2104</v>
      </c>
      <c r="AJ62" s="50" t="s">
        <v>2105</v>
      </c>
      <c r="AK62" s="50"/>
      <c r="AL62" s="50" t="s">
        <v>33</v>
      </c>
      <c r="AM62" s="52">
        <v>41781</v>
      </c>
      <c r="AN62" s="52" t="s">
        <v>34</v>
      </c>
      <c r="AO62" s="52" t="s">
        <v>34</v>
      </c>
      <c r="AP62" s="52" t="s">
        <v>34</v>
      </c>
      <c r="AQ62" s="52"/>
    </row>
    <row r="63" spans="1:43" ht="15.75" customHeight="1" x14ac:dyDescent="0.15">
      <c r="A63" s="50">
        <v>375</v>
      </c>
      <c r="B63" s="50" t="s">
        <v>634</v>
      </c>
      <c r="C63" s="50" t="s">
        <v>46</v>
      </c>
      <c r="D63" s="52">
        <v>43826</v>
      </c>
      <c r="E63" s="50" t="s">
        <v>34</v>
      </c>
      <c r="F63" s="50" t="s">
        <v>34</v>
      </c>
      <c r="G63" s="50" t="s">
        <v>34</v>
      </c>
      <c r="H63" s="52"/>
      <c r="I63" s="50" t="s">
        <v>46</v>
      </c>
      <c r="J63" s="52">
        <v>43826</v>
      </c>
      <c r="K63" s="50" t="s">
        <v>34</v>
      </c>
      <c r="L63" s="50" t="s">
        <v>34</v>
      </c>
      <c r="M63" s="50" t="s">
        <v>34</v>
      </c>
      <c r="N63" s="52"/>
      <c r="O63" s="50" t="s">
        <v>46</v>
      </c>
      <c r="P63" s="52">
        <v>43826</v>
      </c>
      <c r="Q63" s="50" t="s">
        <v>34</v>
      </c>
      <c r="R63" s="50" t="s">
        <v>34</v>
      </c>
      <c r="S63" s="50" t="s">
        <v>34</v>
      </c>
      <c r="T63" s="52"/>
      <c r="U63" s="50" t="s">
        <v>46</v>
      </c>
      <c r="V63" s="52">
        <v>43826</v>
      </c>
      <c r="W63" s="50" t="s">
        <v>34</v>
      </c>
      <c r="X63" s="50" t="s">
        <v>34</v>
      </c>
      <c r="Y63" s="50"/>
      <c r="Z63" s="50" t="s">
        <v>46</v>
      </c>
      <c r="AA63" s="52">
        <v>43826</v>
      </c>
      <c r="AB63" s="50" t="s">
        <v>34</v>
      </c>
      <c r="AC63" s="50" t="s">
        <v>34</v>
      </c>
      <c r="AD63" s="50" t="s">
        <v>34</v>
      </c>
      <c r="AE63" s="52"/>
      <c r="AF63" s="50" t="s">
        <v>46</v>
      </c>
      <c r="AG63" s="52">
        <v>43826</v>
      </c>
      <c r="AH63" s="52">
        <v>531</v>
      </c>
      <c r="AI63" s="52"/>
      <c r="AJ63" s="52"/>
      <c r="AK63" s="50" t="s">
        <v>2106</v>
      </c>
      <c r="AL63" s="50" t="s">
        <v>46</v>
      </c>
      <c r="AM63" s="52">
        <v>43826</v>
      </c>
      <c r="AN63" s="52" t="s">
        <v>34</v>
      </c>
      <c r="AO63" s="52" t="s">
        <v>34</v>
      </c>
      <c r="AP63" s="52" t="s">
        <v>34</v>
      </c>
      <c r="AQ63" s="52"/>
    </row>
    <row r="64" spans="1:43" ht="15.75" customHeight="1" x14ac:dyDescent="0.15">
      <c r="A64" s="50">
        <v>4252</v>
      </c>
      <c r="B64" s="50" t="s">
        <v>1189</v>
      </c>
      <c r="C64" s="50" t="s">
        <v>33</v>
      </c>
      <c r="D64" s="50">
        <v>370</v>
      </c>
      <c r="E64" s="50"/>
      <c r="F64" s="50" t="s">
        <v>34</v>
      </c>
      <c r="G64" s="50" t="s">
        <v>34</v>
      </c>
      <c r="H64" s="52"/>
      <c r="I64" s="50" t="s">
        <v>33</v>
      </c>
      <c r="J64" s="50">
        <v>370</v>
      </c>
      <c r="K64" s="50" t="s">
        <v>34</v>
      </c>
      <c r="L64" s="50" t="s">
        <v>34</v>
      </c>
      <c r="M64" s="50" t="s">
        <v>34</v>
      </c>
      <c r="N64" s="52"/>
      <c r="O64" s="50" t="s">
        <v>33</v>
      </c>
      <c r="P64" s="50">
        <v>370</v>
      </c>
      <c r="Q64" s="50" t="s">
        <v>34</v>
      </c>
      <c r="R64" s="50" t="s">
        <v>34</v>
      </c>
      <c r="S64" s="50" t="s">
        <v>34</v>
      </c>
      <c r="T64" s="52"/>
      <c r="U64" s="50" t="s">
        <v>33</v>
      </c>
      <c r="V64" s="50">
        <v>370</v>
      </c>
      <c r="W64" s="50" t="s">
        <v>2107</v>
      </c>
      <c r="X64" s="50" t="s">
        <v>34</v>
      </c>
      <c r="Y64" s="52"/>
      <c r="Z64" s="50" t="s">
        <v>33</v>
      </c>
      <c r="AA64" s="50">
        <v>370</v>
      </c>
      <c r="AB64" s="50">
        <v>35</v>
      </c>
      <c r="AC64" s="50" t="s">
        <v>34</v>
      </c>
      <c r="AD64" s="50" t="s">
        <v>2108</v>
      </c>
      <c r="AE64" s="52"/>
      <c r="AF64" s="50" t="s">
        <v>33</v>
      </c>
      <c r="AG64" s="50">
        <v>370</v>
      </c>
      <c r="AH64" s="50">
        <v>2</v>
      </c>
      <c r="AI64" s="50" t="s">
        <v>34</v>
      </c>
      <c r="AJ64" s="50" t="s">
        <v>34</v>
      </c>
      <c r="AK64" s="50" t="s">
        <v>2109</v>
      </c>
      <c r="AL64" s="50" t="s">
        <v>33</v>
      </c>
      <c r="AM64" s="50">
        <v>370</v>
      </c>
      <c r="AN64" s="50" t="s">
        <v>34</v>
      </c>
      <c r="AO64" s="50" t="s">
        <v>34</v>
      </c>
      <c r="AP64" s="50" t="s">
        <v>34</v>
      </c>
      <c r="AQ64" s="52"/>
    </row>
    <row r="65" spans="1:43" ht="15.75" customHeight="1" x14ac:dyDescent="0.15">
      <c r="A65" s="52">
        <v>3891</v>
      </c>
      <c r="B65" s="52" t="s">
        <v>1250</v>
      </c>
      <c r="C65" s="50" t="s">
        <v>33</v>
      </c>
      <c r="D65" s="50">
        <v>2195</v>
      </c>
      <c r="E65" s="52" t="s">
        <v>34</v>
      </c>
      <c r="F65" s="52" t="s">
        <v>34</v>
      </c>
      <c r="G65" s="52" t="s">
        <v>34</v>
      </c>
      <c r="H65" s="52"/>
      <c r="I65" s="50" t="s">
        <v>33</v>
      </c>
      <c r="J65" s="50">
        <v>2195</v>
      </c>
      <c r="K65" s="52" t="s">
        <v>34</v>
      </c>
      <c r="L65" s="52" t="s">
        <v>34</v>
      </c>
      <c r="M65" s="52" t="s">
        <v>34</v>
      </c>
      <c r="N65" s="52"/>
      <c r="O65" s="50" t="s">
        <v>33</v>
      </c>
      <c r="P65" s="50">
        <v>2195</v>
      </c>
      <c r="Q65" s="52" t="s">
        <v>34</v>
      </c>
      <c r="R65" s="52" t="s">
        <v>34</v>
      </c>
      <c r="S65" s="52" t="s">
        <v>34</v>
      </c>
      <c r="T65" s="52"/>
      <c r="U65" s="50" t="s">
        <v>33</v>
      </c>
      <c r="V65" s="50">
        <v>2195</v>
      </c>
      <c r="W65" s="52" t="s">
        <v>34</v>
      </c>
      <c r="X65" s="52" t="s">
        <v>34</v>
      </c>
      <c r="Y65" s="52"/>
      <c r="Z65" s="50" t="s">
        <v>33</v>
      </c>
      <c r="AA65" s="50">
        <v>2195</v>
      </c>
      <c r="AB65" s="52">
        <v>1060</v>
      </c>
      <c r="AC65" s="52" t="s">
        <v>2110</v>
      </c>
      <c r="AD65" s="52" t="s">
        <v>2111</v>
      </c>
      <c r="AE65" s="52" t="s">
        <v>2112</v>
      </c>
      <c r="AF65" s="50" t="s">
        <v>33</v>
      </c>
      <c r="AG65" s="50">
        <v>2195</v>
      </c>
      <c r="AH65" s="52" t="s">
        <v>34</v>
      </c>
      <c r="AI65" s="52" t="s">
        <v>34</v>
      </c>
      <c r="AJ65" s="52" t="s">
        <v>34</v>
      </c>
      <c r="AK65" s="52"/>
      <c r="AL65" s="50" t="s">
        <v>33</v>
      </c>
      <c r="AM65" s="50">
        <v>2195</v>
      </c>
      <c r="AN65" s="52" t="s">
        <v>34</v>
      </c>
      <c r="AO65" s="52" t="s">
        <v>34</v>
      </c>
      <c r="AP65" s="52" t="s">
        <v>34</v>
      </c>
      <c r="AQ65" s="52"/>
    </row>
    <row r="66" spans="1:43" ht="15.75" customHeight="1" x14ac:dyDescent="0.15">
      <c r="A66" s="52">
        <v>3891</v>
      </c>
      <c r="B66" s="52" t="s">
        <v>1250</v>
      </c>
      <c r="C66" s="50" t="s">
        <v>46</v>
      </c>
      <c r="D66" s="50">
        <v>48249</v>
      </c>
      <c r="E66" s="52" t="s">
        <v>34</v>
      </c>
      <c r="F66" s="52" t="s">
        <v>34</v>
      </c>
      <c r="G66" s="52" t="s">
        <v>34</v>
      </c>
      <c r="H66" s="52"/>
      <c r="I66" s="50" t="s">
        <v>46</v>
      </c>
      <c r="J66" s="50">
        <v>48249</v>
      </c>
      <c r="K66" s="52" t="s">
        <v>34</v>
      </c>
      <c r="L66" s="52" t="s">
        <v>34</v>
      </c>
      <c r="M66" s="52" t="s">
        <v>34</v>
      </c>
      <c r="N66" s="52"/>
      <c r="O66" s="50" t="s">
        <v>46</v>
      </c>
      <c r="P66" s="50">
        <v>48249</v>
      </c>
      <c r="Q66" s="52" t="s">
        <v>34</v>
      </c>
      <c r="R66" s="52" t="s">
        <v>34</v>
      </c>
      <c r="S66" s="52" t="s">
        <v>34</v>
      </c>
      <c r="T66" s="52"/>
      <c r="U66" s="50" t="s">
        <v>46</v>
      </c>
      <c r="V66" s="50">
        <v>48249</v>
      </c>
      <c r="W66" s="52" t="s">
        <v>34</v>
      </c>
      <c r="X66" s="52" t="s">
        <v>34</v>
      </c>
      <c r="Y66" s="52"/>
      <c r="Z66" s="50" t="s">
        <v>46</v>
      </c>
      <c r="AA66" s="50">
        <v>48249</v>
      </c>
      <c r="AB66" s="52">
        <v>24162</v>
      </c>
      <c r="AC66" s="52" t="s">
        <v>34</v>
      </c>
      <c r="AD66" s="52" t="s">
        <v>34</v>
      </c>
      <c r="AE66" s="52"/>
      <c r="AF66" s="50" t="s">
        <v>46</v>
      </c>
      <c r="AG66" s="50">
        <v>48249</v>
      </c>
      <c r="AH66" s="52" t="s">
        <v>34</v>
      </c>
      <c r="AI66" s="52" t="s">
        <v>34</v>
      </c>
      <c r="AJ66" s="52" t="s">
        <v>34</v>
      </c>
      <c r="AK66" s="52"/>
      <c r="AL66" s="50" t="s">
        <v>46</v>
      </c>
      <c r="AM66" s="50">
        <v>48249</v>
      </c>
      <c r="AN66" s="52" t="s">
        <v>34</v>
      </c>
      <c r="AO66" s="52" t="s">
        <v>34</v>
      </c>
      <c r="AP66" s="52" t="s">
        <v>34</v>
      </c>
      <c r="AQ66" s="52"/>
    </row>
    <row r="67" spans="1:43" ht="15.75" customHeight="1" x14ac:dyDescent="0.15">
      <c r="A67" s="45"/>
      <c r="B67" s="45"/>
      <c r="C67" s="45"/>
      <c r="D67" s="57"/>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58"/>
      <c r="AJ67" s="59"/>
      <c r="AK67" s="45"/>
      <c r="AL67" s="45"/>
      <c r="AM67" s="45"/>
      <c r="AN67" s="45"/>
      <c r="AO67" s="45"/>
      <c r="AP67" s="45"/>
      <c r="AQ67" s="45"/>
    </row>
    <row r="68" spans="1:43" ht="15.75" customHeight="1" x14ac:dyDescent="0.15">
      <c r="A68" s="45"/>
      <c r="B68" s="45"/>
      <c r="C68" s="45"/>
      <c r="D68" s="57"/>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row>
    <row r="69" spans="1:43" ht="15.75" customHeight="1" x14ac:dyDescent="0.15">
      <c r="A69" s="45"/>
      <c r="B69" s="45"/>
      <c r="C69" s="45"/>
      <c r="D69" s="57"/>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row>
    <row r="70" spans="1:43" ht="15.75" customHeight="1" x14ac:dyDescent="0.15">
      <c r="A70" s="45"/>
      <c r="B70" s="45"/>
      <c r="C70" s="45"/>
      <c r="D70" s="57"/>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row>
    <row r="71" spans="1:43" ht="15.75" customHeight="1" x14ac:dyDescent="0.15">
      <c r="A71" s="45"/>
      <c r="B71" s="45"/>
      <c r="C71" s="45"/>
      <c r="D71" s="57"/>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row>
    <row r="72" spans="1:43" ht="15.75" customHeight="1" x14ac:dyDescent="0.15">
      <c r="A72" s="45"/>
      <c r="B72" s="45"/>
      <c r="C72" s="45"/>
      <c r="D72" s="57"/>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row>
    <row r="73" spans="1:43" ht="15.75" customHeight="1" x14ac:dyDescent="0.15">
      <c r="A73" s="45"/>
      <c r="B73" s="45"/>
      <c r="C73" s="45"/>
      <c r="D73" s="57"/>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row>
    <row r="74" spans="1:43" ht="15.75" customHeight="1" x14ac:dyDescent="0.15">
      <c r="A74" s="45"/>
      <c r="B74" s="45"/>
      <c r="C74" s="45"/>
      <c r="D74" s="57"/>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row>
    <row r="75" spans="1:43" ht="15.75" customHeight="1" x14ac:dyDescent="0.15">
      <c r="A75" s="45"/>
      <c r="B75" s="45"/>
      <c r="C75" s="45"/>
      <c r="D75" s="57"/>
      <c r="E75" s="45"/>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row>
    <row r="76" spans="1:43" ht="15.75" customHeight="1" x14ac:dyDescent="0.15">
      <c r="A76" s="45"/>
      <c r="B76" s="45"/>
      <c r="C76" s="45"/>
      <c r="D76" s="57"/>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row>
    <row r="77" spans="1:43" ht="15.75" customHeight="1" x14ac:dyDescent="0.15">
      <c r="A77" s="45"/>
      <c r="B77" s="45"/>
      <c r="C77" s="45"/>
      <c r="D77" s="57"/>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row>
    <row r="78" spans="1:43" ht="15.75" customHeight="1" x14ac:dyDescent="0.15">
      <c r="A78" s="45"/>
      <c r="B78" s="45"/>
      <c r="C78" s="45"/>
      <c r="D78" s="57"/>
      <c r="E78" s="45"/>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row>
    <row r="79" spans="1:43" ht="15.75" customHeight="1" x14ac:dyDescent="0.15">
      <c r="A79" s="45"/>
      <c r="B79" s="45"/>
      <c r="C79" s="45"/>
      <c r="D79" s="57"/>
      <c r="E79" s="45"/>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row>
    <row r="80" spans="1:43" ht="15.75" customHeight="1" x14ac:dyDescent="0.15">
      <c r="A80" s="45"/>
      <c r="B80" s="45"/>
      <c r="C80" s="45"/>
      <c r="D80" s="57"/>
      <c r="E80" s="45"/>
      <c r="F80" s="45"/>
      <c r="G80" s="45"/>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row>
    <row r="81" spans="1:43" ht="15.75" customHeight="1" x14ac:dyDescent="0.15">
      <c r="A81" s="45"/>
      <c r="B81" s="45"/>
      <c r="C81" s="45"/>
      <c r="D81" s="57"/>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row>
    <row r="82" spans="1:43" ht="15.75" customHeight="1" x14ac:dyDescent="0.15">
      <c r="A82" s="45"/>
      <c r="B82" s="45"/>
      <c r="C82" s="45"/>
      <c r="D82" s="57"/>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row>
    <row r="83" spans="1:43" ht="15.75" customHeight="1" x14ac:dyDescent="0.15">
      <c r="A83" s="45"/>
      <c r="B83" s="45"/>
      <c r="C83" s="45"/>
      <c r="D83" s="57"/>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row>
    <row r="84" spans="1:43" ht="15.75" customHeight="1" x14ac:dyDescent="0.15">
      <c r="A84" s="45"/>
      <c r="B84" s="45"/>
      <c r="C84" s="45"/>
      <c r="D84" s="57"/>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row>
    <row r="85" spans="1:43" ht="15.75" customHeight="1" x14ac:dyDescent="0.15">
      <c r="A85" s="45"/>
      <c r="B85" s="45"/>
      <c r="C85" s="45"/>
      <c r="D85" s="57"/>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row>
    <row r="86" spans="1:43" ht="15.75" customHeight="1" x14ac:dyDescent="0.15">
      <c r="A86" s="45"/>
      <c r="B86" s="45"/>
      <c r="C86" s="45"/>
      <c r="D86" s="57"/>
      <c r="E86" s="45"/>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row>
    <row r="87" spans="1:43" ht="15.75" customHeight="1" x14ac:dyDescent="0.15">
      <c r="A87" s="45"/>
      <c r="B87" s="45"/>
      <c r="C87" s="45"/>
      <c r="D87" s="57"/>
      <c r="E87" s="45"/>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row>
    <row r="88" spans="1:43" ht="15.75" customHeight="1" x14ac:dyDescent="0.15">
      <c r="A88" s="45"/>
      <c r="B88" s="45"/>
      <c r="C88" s="45"/>
      <c r="D88" s="57"/>
      <c r="E88" s="45"/>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row>
    <row r="89" spans="1:43" ht="15.75" customHeight="1" x14ac:dyDescent="0.15">
      <c r="A89" s="45"/>
      <c r="B89" s="45"/>
      <c r="C89" s="45"/>
      <c r="D89" s="57"/>
      <c r="E89" s="45"/>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row>
    <row r="90" spans="1:43" ht="15.75" customHeight="1" x14ac:dyDescent="0.15">
      <c r="A90" s="45"/>
      <c r="B90" s="45"/>
      <c r="C90" s="45"/>
      <c r="D90" s="57"/>
      <c r="E90" s="45"/>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row>
    <row r="91" spans="1:43" ht="15.75" customHeight="1" x14ac:dyDescent="0.15">
      <c r="A91" s="45"/>
      <c r="B91" s="45"/>
      <c r="C91" s="45"/>
      <c r="D91" s="57"/>
      <c r="E91" s="45"/>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row>
    <row r="92" spans="1:43" ht="15.75" customHeight="1" x14ac:dyDescent="0.15">
      <c r="A92" s="45"/>
      <c r="B92" s="45"/>
      <c r="C92" s="45"/>
      <c r="D92" s="57"/>
      <c r="E92" s="45"/>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row>
    <row r="93" spans="1:43" ht="15.75" customHeight="1" x14ac:dyDescent="0.15">
      <c r="A93" s="45"/>
      <c r="B93" s="45"/>
      <c r="C93" s="45"/>
      <c r="D93" s="57"/>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row>
    <row r="94" spans="1:43" ht="15.75" customHeight="1" x14ac:dyDescent="0.15">
      <c r="A94" s="45"/>
      <c r="B94" s="45"/>
      <c r="C94" s="45"/>
      <c r="D94" s="57"/>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row>
    <row r="95" spans="1:43" ht="15.75" customHeight="1" x14ac:dyDescent="0.15">
      <c r="A95" s="45"/>
      <c r="B95" s="45"/>
      <c r="C95" s="45"/>
      <c r="D95" s="57"/>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row>
    <row r="96" spans="1:43" ht="15.75" customHeight="1" x14ac:dyDescent="0.15">
      <c r="A96" s="45"/>
      <c r="B96" s="45"/>
      <c r="C96" s="45"/>
      <c r="D96" s="57"/>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row>
    <row r="97" spans="1:43" ht="15.75" customHeight="1" x14ac:dyDescent="0.15">
      <c r="A97" s="45"/>
      <c r="B97" s="45"/>
      <c r="C97" s="45"/>
      <c r="D97" s="57"/>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row>
    <row r="98" spans="1:43" ht="15.75" customHeight="1" x14ac:dyDescent="0.15">
      <c r="A98" s="45"/>
      <c r="B98" s="45"/>
      <c r="C98" s="45"/>
      <c r="D98" s="57"/>
      <c r="E98" s="45"/>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row>
    <row r="99" spans="1:43" ht="15.75" customHeight="1" x14ac:dyDescent="0.15">
      <c r="A99" s="45"/>
      <c r="B99" s="45"/>
      <c r="C99" s="45"/>
      <c r="D99" s="57"/>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row>
    <row r="100" spans="1:43" ht="15.75" customHeight="1" x14ac:dyDescent="0.15">
      <c r="A100" s="45"/>
      <c r="B100" s="45"/>
      <c r="C100" s="45"/>
      <c r="D100" s="57"/>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row>
    <row r="101" spans="1:43" ht="15.75" customHeight="1" x14ac:dyDescent="0.15">
      <c r="A101" s="45"/>
      <c r="B101" s="45"/>
      <c r="C101" s="45"/>
      <c r="D101" s="57"/>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row>
    <row r="102" spans="1:43" ht="15.75" customHeight="1" x14ac:dyDescent="0.15">
      <c r="A102" s="45"/>
      <c r="B102" s="45"/>
      <c r="C102" s="45"/>
      <c r="D102" s="57"/>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row>
    <row r="103" spans="1:43" ht="15.75" customHeight="1" x14ac:dyDescent="0.15">
      <c r="A103" s="45"/>
      <c r="B103" s="45"/>
      <c r="C103" s="45"/>
      <c r="D103" s="57"/>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row>
    <row r="104" spans="1:43" ht="15.75" customHeight="1" x14ac:dyDescent="0.15">
      <c r="A104" s="45"/>
      <c r="B104" s="45"/>
      <c r="C104" s="45"/>
      <c r="D104" s="57"/>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row>
    <row r="105" spans="1:43" ht="15.75" customHeight="1" x14ac:dyDescent="0.15">
      <c r="A105" s="45"/>
      <c r="B105" s="45"/>
      <c r="C105" s="45"/>
      <c r="D105" s="57"/>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row>
    <row r="106" spans="1:43" ht="15.75" customHeight="1" x14ac:dyDescent="0.15">
      <c r="A106" s="45"/>
      <c r="B106" s="45"/>
      <c r="C106" s="45"/>
      <c r="D106" s="57"/>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row>
    <row r="107" spans="1:43" ht="15.75" customHeight="1" x14ac:dyDescent="0.15">
      <c r="A107" s="45"/>
      <c r="B107" s="45"/>
      <c r="C107" s="45"/>
      <c r="D107" s="57"/>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row>
    <row r="108" spans="1:43" ht="15.75" customHeight="1" x14ac:dyDescent="0.15">
      <c r="A108" s="45"/>
      <c r="B108" s="45"/>
      <c r="C108" s="45"/>
      <c r="D108" s="57"/>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row>
    <row r="109" spans="1:43" ht="15.75" customHeight="1" x14ac:dyDescent="0.15">
      <c r="A109" s="45"/>
      <c r="B109" s="45"/>
      <c r="C109" s="45"/>
      <c r="D109" s="57"/>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row>
    <row r="110" spans="1:43" ht="15.75" customHeight="1" x14ac:dyDescent="0.15">
      <c r="A110" s="45"/>
      <c r="B110" s="45"/>
      <c r="C110" s="45"/>
      <c r="D110" s="57"/>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row>
    <row r="111" spans="1:43" ht="15.75" customHeight="1" x14ac:dyDescent="0.15">
      <c r="A111" s="45"/>
      <c r="B111" s="45"/>
      <c r="C111" s="45"/>
      <c r="D111" s="57"/>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row>
    <row r="112" spans="1:43" ht="15.75" customHeight="1" x14ac:dyDescent="0.15">
      <c r="A112" s="45"/>
      <c r="B112" s="45"/>
      <c r="C112" s="45"/>
      <c r="D112" s="57"/>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row>
    <row r="113" spans="1:43" ht="15.75" customHeight="1" x14ac:dyDescent="0.15">
      <c r="A113" s="45"/>
      <c r="B113" s="45"/>
      <c r="C113" s="45"/>
      <c r="D113" s="57"/>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row>
    <row r="114" spans="1:43" ht="15.75" customHeight="1" x14ac:dyDescent="0.15">
      <c r="A114" s="45"/>
      <c r="B114" s="45"/>
      <c r="C114" s="45"/>
      <c r="D114" s="57"/>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row>
    <row r="115" spans="1:43" ht="15.75" customHeight="1" x14ac:dyDescent="0.15">
      <c r="A115" s="45"/>
      <c r="B115" s="45"/>
      <c r="C115" s="45"/>
      <c r="D115" s="57"/>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row>
    <row r="116" spans="1:43" ht="15.75" customHeight="1" x14ac:dyDescent="0.15">
      <c r="A116" s="45"/>
      <c r="B116" s="45"/>
      <c r="C116" s="45"/>
      <c r="D116" s="57"/>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row>
    <row r="117" spans="1:43" ht="15.75" customHeight="1" x14ac:dyDescent="0.15">
      <c r="A117" s="45"/>
      <c r="B117" s="45"/>
      <c r="C117" s="45"/>
      <c r="D117" s="57"/>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row>
    <row r="118" spans="1:43" ht="15.75" customHeight="1" x14ac:dyDescent="0.15">
      <c r="A118" s="45"/>
      <c r="B118" s="45"/>
      <c r="C118" s="45"/>
      <c r="D118" s="57"/>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row>
    <row r="119" spans="1:43" ht="15.75" customHeight="1" x14ac:dyDescent="0.15">
      <c r="A119" s="45"/>
      <c r="B119" s="45"/>
      <c r="C119" s="45"/>
      <c r="D119" s="57"/>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row>
    <row r="120" spans="1:43" ht="15.75" customHeight="1" x14ac:dyDescent="0.15">
      <c r="A120" s="45"/>
      <c r="B120" s="45"/>
      <c r="C120" s="45"/>
      <c r="D120" s="57"/>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row>
    <row r="121" spans="1:43" ht="15.75" customHeight="1" x14ac:dyDescent="0.15">
      <c r="A121" s="45"/>
      <c r="B121" s="45"/>
      <c r="C121" s="45"/>
      <c r="D121" s="57"/>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row>
    <row r="122" spans="1:43" ht="15.75" customHeight="1" x14ac:dyDescent="0.15">
      <c r="A122" s="45"/>
      <c r="B122" s="45"/>
      <c r="C122" s="45"/>
      <c r="D122" s="57"/>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row>
    <row r="123" spans="1:43" ht="15.75" customHeight="1" x14ac:dyDescent="0.15">
      <c r="A123" s="45"/>
      <c r="B123" s="45"/>
      <c r="C123" s="45"/>
      <c r="D123" s="57"/>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row>
    <row r="124" spans="1:43" ht="15.75" customHeight="1" x14ac:dyDescent="0.15">
      <c r="A124" s="45"/>
      <c r="B124" s="45"/>
      <c r="C124" s="45"/>
      <c r="D124" s="57"/>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row>
    <row r="125" spans="1:43" ht="15.75" customHeight="1" x14ac:dyDescent="0.15">
      <c r="A125" s="45"/>
      <c r="B125" s="45"/>
      <c r="C125" s="45"/>
      <c r="D125" s="57"/>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row>
    <row r="126" spans="1:43" ht="15.75" customHeight="1" x14ac:dyDescent="0.15">
      <c r="A126" s="45"/>
      <c r="B126" s="45"/>
      <c r="C126" s="45"/>
      <c r="D126" s="57"/>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row>
    <row r="127" spans="1:43" ht="15.75" customHeight="1" x14ac:dyDescent="0.15">
      <c r="A127" s="45"/>
      <c r="B127" s="45"/>
      <c r="C127" s="45"/>
      <c r="D127" s="57"/>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row>
    <row r="128" spans="1:43" ht="15.75" customHeight="1" x14ac:dyDescent="0.15">
      <c r="A128" s="45"/>
      <c r="B128" s="45"/>
      <c r="C128" s="45"/>
      <c r="D128" s="57"/>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row>
    <row r="129" spans="1:43" ht="15.75" customHeight="1" x14ac:dyDescent="0.15">
      <c r="A129" s="45"/>
      <c r="B129" s="45"/>
      <c r="C129" s="45"/>
      <c r="D129" s="57"/>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row>
    <row r="130" spans="1:43" ht="15.75" customHeight="1" x14ac:dyDescent="0.15">
      <c r="A130" s="45"/>
      <c r="B130" s="45"/>
      <c r="C130" s="45"/>
      <c r="D130" s="57"/>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row>
    <row r="131" spans="1:43" ht="15.75" customHeight="1" x14ac:dyDescent="0.15">
      <c r="A131" s="45"/>
      <c r="B131" s="45"/>
      <c r="C131" s="45"/>
      <c r="D131" s="57"/>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row>
    <row r="132" spans="1:43" ht="15.75" customHeight="1" x14ac:dyDescent="0.15">
      <c r="A132" s="45"/>
      <c r="B132" s="45"/>
      <c r="C132" s="45"/>
      <c r="D132" s="57"/>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row>
    <row r="133" spans="1:43" ht="15.75" customHeight="1" x14ac:dyDescent="0.15">
      <c r="A133" s="45"/>
      <c r="B133" s="45"/>
      <c r="C133" s="45"/>
      <c r="D133" s="57"/>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row>
    <row r="134" spans="1:43" ht="15.75" customHeight="1" x14ac:dyDescent="0.15">
      <c r="A134" s="45"/>
      <c r="B134" s="45"/>
      <c r="C134" s="45"/>
      <c r="D134" s="57"/>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row>
    <row r="135" spans="1:43" ht="15.75" customHeight="1" x14ac:dyDescent="0.15">
      <c r="A135" s="45"/>
      <c r="B135" s="45"/>
      <c r="C135" s="45"/>
      <c r="D135" s="57"/>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row>
    <row r="136" spans="1:43" ht="15.75" customHeight="1" x14ac:dyDescent="0.15">
      <c r="A136" s="45"/>
      <c r="B136" s="45"/>
      <c r="C136" s="45"/>
      <c r="D136" s="57"/>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row>
    <row r="137" spans="1:43" ht="15.75" customHeight="1" x14ac:dyDescent="0.15">
      <c r="A137" s="45"/>
      <c r="B137" s="45"/>
      <c r="C137" s="45"/>
      <c r="D137" s="57"/>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row>
    <row r="138" spans="1:43" ht="15.75" customHeight="1" x14ac:dyDescent="0.15">
      <c r="A138" s="45"/>
      <c r="B138" s="45"/>
      <c r="C138" s="45"/>
      <c r="D138" s="57"/>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row>
    <row r="139" spans="1:43" ht="15.75" customHeight="1" x14ac:dyDescent="0.15">
      <c r="A139" s="45"/>
      <c r="B139" s="45"/>
      <c r="C139" s="45"/>
      <c r="D139" s="57"/>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row>
    <row r="140" spans="1:43" ht="15.75" customHeight="1" x14ac:dyDescent="0.15">
      <c r="A140" s="45"/>
      <c r="B140" s="45"/>
      <c r="C140" s="45"/>
      <c r="D140" s="57"/>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row>
    <row r="141" spans="1:43" ht="15.75" customHeight="1" x14ac:dyDescent="0.15">
      <c r="A141" s="45"/>
      <c r="B141" s="45"/>
      <c r="C141" s="45"/>
      <c r="D141" s="57"/>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row>
    <row r="142" spans="1:43" ht="15.75" customHeight="1" x14ac:dyDescent="0.15">
      <c r="A142" s="45"/>
      <c r="B142" s="45"/>
      <c r="C142" s="45"/>
      <c r="D142" s="57"/>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row>
    <row r="143" spans="1:43" ht="15.75" customHeight="1" x14ac:dyDescent="0.15">
      <c r="A143" s="45"/>
      <c r="B143" s="45"/>
      <c r="C143" s="45"/>
      <c r="D143" s="57"/>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row>
    <row r="144" spans="1:43" ht="15.75" customHeight="1" x14ac:dyDescent="0.15">
      <c r="A144" s="45"/>
      <c r="B144" s="45"/>
      <c r="C144" s="45"/>
      <c r="D144" s="57"/>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row>
    <row r="145" spans="1:43" ht="15.75" customHeight="1" x14ac:dyDescent="0.15">
      <c r="A145" s="45"/>
      <c r="B145" s="45"/>
      <c r="C145" s="45"/>
      <c r="D145" s="57"/>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row>
    <row r="146" spans="1:43" ht="15.75" customHeight="1" x14ac:dyDescent="0.15">
      <c r="A146" s="45"/>
      <c r="B146" s="45"/>
      <c r="C146" s="45"/>
      <c r="D146" s="57"/>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row>
    <row r="147" spans="1:43" ht="15.75" customHeight="1" x14ac:dyDescent="0.15">
      <c r="A147" s="45"/>
      <c r="B147" s="45"/>
      <c r="C147" s="45"/>
      <c r="D147" s="57"/>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row>
    <row r="148" spans="1:43" ht="15.75" customHeight="1" x14ac:dyDescent="0.15">
      <c r="A148" s="45"/>
      <c r="B148" s="45"/>
      <c r="C148" s="45"/>
      <c r="D148" s="57"/>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row>
    <row r="149" spans="1:43" ht="15.75" customHeight="1" x14ac:dyDescent="0.15">
      <c r="A149" s="45"/>
      <c r="B149" s="45"/>
      <c r="C149" s="45"/>
      <c r="D149" s="57"/>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row>
    <row r="150" spans="1:43" ht="15.75" customHeight="1" x14ac:dyDescent="0.15">
      <c r="A150" s="45"/>
      <c r="B150" s="45"/>
      <c r="C150" s="45"/>
      <c r="D150" s="57"/>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row>
    <row r="151" spans="1:43" ht="15.75" customHeight="1" x14ac:dyDescent="0.15">
      <c r="A151" s="45"/>
      <c r="B151" s="45"/>
      <c r="C151" s="45"/>
      <c r="D151" s="57"/>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row>
    <row r="152" spans="1:43" ht="15.75" customHeight="1" x14ac:dyDescent="0.15">
      <c r="A152" s="45"/>
      <c r="B152" s="45"/>
      <c r="C152" s="45"/>
      <c r="D152" s="57"/>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row>
    <row r="153" spans="1:43" ht="15.75" customHeight="1" x14ac:dyDescent="0.15">
      <c r="A153" s="45"/>
      <c r="B153" s="45"/>
      <c r="C153" s="45"/>
      <c r="D153" s="57"/>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row>
    <row r="154" spans="1:43" ht="15.75" customHeight="1" x14ac:dyDescent="0.15">
      <c r="A154" s="45"/>
      <c r="B154" s="45"/>
      <c r="C154" s="45"/>
      <c r="D154" s="57"/>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row>
    <row r="155" spans="1:43" ht="15.75" customHeight="1" x14ac:dyDescent="0.15">
      <c r="A155" s="45"/>
      <c r="B155" s="45"/>
      <c r="C155" s="45"/>
      <c r="D155" s="57"/>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row>
    <row r="156" spans="1:43" ht="15.75" customHeight="1" x14ac:dyDescent="0.15">
      <c r="A156" s="45"/>
      <c r="B156" s="45"/>
      <c r="C156" s="45"/>
      <c r="D156" s="57"/>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row>
    <row r="157" spans="1:43" ht="15.75" customHeight="1" x14ac:dyDescent="0.15">
      <c r="A157" s="45"/>
      <c r="B157" s="45"/>
      <c r="C157" s="45"/>
      <c r="D157" s="57"/>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row>
    <row r="158" spans="1:43" ht="15.75" customHeight="1" x14ac:dyDescent="0.15">
      <c r="A158" s="45"/>
      <c r="B158" s="45"/>
      <c r="C158" s="45"/>
      <c r="D158" s="57"/>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row>
    <row r="159" spans="1:43" ht="15.75" customHeight="1" x14ac:dyDescent="0.15">
      <c r="A159" s="45"/>
      <c r="B159" s="45"/>
      <c r="C159" s="45"/>
      <c r="D159" s="57"/>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row>
    <row r="160" spans="1:43" ht="15.75" customHeight="1" x14ac:dyDescent="0.15">
      <c r="A160" s="45"/>
      <c r="B160" s="45"/>
      <c r="C160" s="45"/>
      <c r="D160" s="57"/>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row>
    <row r="161" spans="1:43" ht="15.75" customHeight="1" x14ac:dyDescent="0.15">
      <c r="A161" s="45"/>
      <c r="B161" s="45"/>
      <c r="C161" s="45"/>
      <c r="D161" s="57"/>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row>
    <row r="162" spans="1:43" ht="15.75" customHeight="1" x14ac:dyDescent="0.15">
      <c r="A162" s="45"/>
      <c r="B162" s="45"/>
      <c r="C162" s="45"/>
      <c r="D162" s="57"/>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row>
    <row r="163" spans="1:43" ht="15.75" customHeight="1" x14ac:dyDescent="0.15">
      <c r="A163" s="45"/>
      <c r="B163" s="45"/>
      <c r="C163" s="45"/>
      <c r="D163" s="57"/>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row>
    <row r="164" spans="1:43" ht="15.75" customHeight="1" x14ac:dyDescent="0.15">
      <c r="A164" s="45"/>
      <c r="B164" s="45"/>
      <c r="C164" s="45"/>
      <c r="D164" s="57"/>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row>
    <row r="165" spans="1:43" ht="15.75" customHeight="1" x14ac:dyDescent="0.15">
      <c r="A165" s="45"/>
      <c r="B165" s="45"/>
      <c r="C165" s="45"/>
      <c r="D165" s="57"/>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row>
    <row r="166" spans="1:43" ht="15.75" customHeight="1" x14ac:dyDescent="0.15">
      <c r="A166" s="45"/>
      <c r="B166" s="45"/>
      <c r="C166" s="45"/>
      <c r="D166" s="57"/>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row>
    <row r="167" spans="1:43" ht="15.75" customHeight="1" x14ac:dyDescent="0.15">
      <c r="A167" s="45"/>
      <c r="B167" s="45"/>
      <c r="C167" s="45"/>
      <c r="D167" s="57"/>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row>
    <row r="168" spans="1:43" ht="15.75" customHeight="1" x14ac:dyDescent="0.15">
      <c r="A168" s="45"/>
      <c r="B168" s="45"/>
      <c r="C168" s="45"/>
      <c r="D168" s="57"/>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row>
    <row r="169" spans="1:43" ht="15.75" customHeight="1" x14ac:dyDescent="0.15">
      <c r="A169" s="45"/>
      <c r="B169" s="45"/>
      <c r="C169" s="45"/>
      <c r="D169" s="57"/>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row>
    <row r="170" spans="1:43" ht="15.75" customHeight="1" x14ac:dyDescent="0.15">
      <c r="A170" s="45"/>
      <c r="B170" s="45"/>
      <c r="C170" s="45"/>
      <c r="D170" s="57"/>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row>
    <row r="171" spans="1:43" ht="15.75" customHeight="1" x14ac:dyDescent="0.15">
      <c r="A171" s="45"/>
      <c r="B171" s="45"/>
      <c r="C171" s="45"/>
      <c r="D171" s="57"/>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row>
    <row r="172" spans="1:43" ht="15.75" customHeight="1" x14ac:dyDescent="0.15">
      <c r="A172" s="45"/>
      <c r="B172" s="45"/>
      <c r="C172" s="45"/>
      <c r="D172" s="57"/>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row>
    <row r="173" spans="1:43" ht="15.75" customHeight="1" x14ac:dyDescent="0.15">
      <c r="A173" s="45"/>
      <c r="B173" s="45"/>
      <c r="C173" s="45"/>
      <c r="D173" s="57"/>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row>
    <row r="174" spans="1:43" ht="15.75" customHeight="1" x14ac:dyDescent="0.15">
      <c r="A174" s="45"/>
      <c r="B174" s="45"/>
      <c r="C174" s="45"/>
      <c r="D174" s="57"/>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row>
    <row r="175" spans="1:43" ht="15.75" customHeight="1" x14ac:dyDescent="0.15">
      <c r="A175" s="45"/>
      <c r="B175" s="45"/>
      <c r="C175" s="45"/>
      <c r="D175" s="57"/>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row>
    <row r="176" spans="1:43" ht="15.75" customHeight="1" x14ac:dyDescent="0.15">
      <c r="A176" s="45"/>
      <c r="B176" s="45"/>
      <c r="C176" s="45"/>
      <c r="D176" s="57"/>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row>
    <row r="177" spans="1:43" ht="15.75" customHeight="1" x14ac:dyDescent="0.15">
      <c r="A177" s="45"/>
      <c r="B177" s="45"/>
      <c r="C177" s="45"/>
      <c r="D177" s="57"/>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row>
    <row r="178" spans="1:43" ht="15.75" customHeight="1" x14ac:dyDescent="0.15">
      <c r="A178" s="45"/>
      <c r="B178" s="45"/>
      <c r="C178" s="45"/>
      <c r="D178" s="57"/>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row>
    <row r="179" spans="1:43" ht="15.75" customHeight="1" x14ac:dyDescent="0.15">
      <c r="A179" s="45"/>
      <c r="B179" s="45"/>
      <c r="C179" s="45"/>
      <c r="D179" s="57"/>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row>
    <row r="180" spans="1:43" ht="15.75" customHeight="1" x14ac:dyDescent="0.15">
      <c r="A180" s="45"/>
      <c r="B180" s="45"/>
      <c r="C180" s="45"/>
      <c r="D180" s="57"/>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row>
    <row r="181" spans="1:43" ht="15.75" customHeight="1" x14ac:dyDescent="0.15">
      <c r="A181" s="45"/>
      <c r="B181" s="45"/>
      <c r="C181" s="45"/>
      <c r="D181" s="57"/>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row>
    <row r="182" spans="1:43" ht="15.75" customHeight="1" x14ac:dyDescent="0.15">
      <c r="A182" s="45"/>
      <c r="B182" s="45"/>
      <c r="C182" s="45"/>
      <c r="D182" s="57"/>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row>
    <row r="183" spans="1:43" ht="15.75" customHeight="1" x14ac:dyDescent="0.15">
      <c r="A183" s="45"/>
      <c r="B183" s="45"/>
      <c r="C183" s="45"/>
      <c r="D183" s="57"/>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row>
    <row r="184" spans="1:43" ht="15.75" customHeight="1" x14ac:dyDescent="0.15">
      <c r="A184" s="45"/>
      <c r="B184" s="45"/>
      <c r="C184" s="45"/>
      <c r="D184" s="57"/>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row>
    <row r="185" spans="1:43" ht="15.75" customHeight="1" x14ac:dyDescent="0.15">
      <c r="A185" s="45"/>
      <c r="B185" s="45"/>
      <c r="C185" s="45"/>
      <c r="D185" s="57"/>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row>
    <row r="186" spans="1:43" ht="15.75" customHeight="1" x14ac:dyDescent="0.15">
      <c r="A186" s="45"/>
      <c r="B186" s="45"/>
      <c r="C186" s="45"/>
      <c r="D186" s="57"/>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row>
    <row r="187" spans="1:43" ht="15.75" customHeight="1" x14ac:dyDescent="0.15">
      <c r="A187" s="45"/>
      <c r="B187" s="45"/>
      <c r="C187" s="45"/>
      <c r="D187" s="57"/>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row>
    <row r="188" spans="1:43" ht="15.75" customHeight="1" x14ac:dyDescent="0.15">
      <c r="A188" s="45"/>
      <c r="B188" s="45"/>
      <c r="C188" s="45"/>
      <c r="D188" s="57"/>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row>
    <row r="189" spans="1:43" ht="15.75" customHeight="1" x14ac:dyDescent="0.15">
      <c r="A189" s="45"/>
      <c r="B189" s="45"/>
      <c r="C189" s="45"/>
      <c r="D189" s="57"/>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row>
    <row r="190" spans="1:43" ht="15.75" customHeight="1" x14ac:dyDescent="0.15">
      <c r="A190" s="45"/>
      <c r="B190" s="45"/>
      <c r="C190" s="45"/>
      <c r="D190" s="57"/>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row>
    <row r="191" spans="1:43" ht="15.75" customHeight="1" x14ac:dyDescent="0.15">
      <c r="A191" s="45"/>
      <c r="B191" s="45"/>
      <c r="C191" s="45"/>
      <c r="D191" s="57"/>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row>
    <row r="192" spans="1:43" ht="15.75" customHeight="1" x14ac:dyDescent="0.15">
      <c r="A192" s="45"/>
      <c r="B192" s="45"/>
      <c r="C192" s="45"/>
      <c r="D192" s="57"/>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row>
    <row r="193" spans="1:43" ht="15.75" customHeight="1" x14ac:dyDescent="0.15">
      <c r="A193" s="45"/>
      <c r="B193" s="45"/>
      <c r="C193" s="45"/>
      <c r="D193" s="57"/>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row>
    <row r="194" spans="1:43" ht="15.75" customHeight="1" x14ac:dyDescent="0.15">
      <c r="A194" s="45"/>
      <c r="B194" s="45"/>
      <c r="C194" s="45"/>
      <c r="D194" s="57"/>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row>
    <row r="195" spans="1:43" ht="15.75" customHeight="1" x14ac:dyDescent="0.15">
      <c r="A195" s="45"/>
      <c r="B195" s="45"/>
      <c r="C195" s="45"/>
      <c r="D195" s="57"/>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row>
    <row r="196" spans="1:43" ht="15.75" customHeight="1" x14ac:dyDescent="0.15">
      <c r="A196" s="45"/>
      <c r="B196" s="45"/>
      <c r="C196" s="45"/>
      <c r="D196" s="57"/>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row>
    <row r="197" spans="1:43" ht="15.75" customHeight="1" x14ac:dyDescent="0.15">
      <c r="A197" s="45"/>
      <c r="B197" s="45"/>
      <c r="C197" s="45"/>
      <c r="D197" s="57"/>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row>
    <row r="198" spans="1:43" ht="15.75" customHeight="1" x14ac:dyDescent="0.15">
      <c r="A198" s="45"/>
      <c r="B198" s="45"/>
      <c r="C198" s="45"/>
      <c r="D198" s="57"/>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row>
    <row r="199" spans="1:43" ht="15.75" customHeight="1" x14ac:dyDescent="0.15">
      <c r="A199" s="45"/>
      <c r="B199" s="45"/>
      <c r="C199" s="45"/>
      <c r="D199" s="57"/>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row>
    <row r="200" spans="1:43" ht="15.75" customHeight="1" x14ac:dyDescent="0.15">
      <c r="A200" s="45"/>
      <c r="B200" s="45"/>
      <c r="C200" s="45"/>
      <c r="D200" s="57"/>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row>
    <row r="201" spans="1:43" ht="15.75" customHeight="1" x14ac:dyDescent="0.15">
      <c r="A201" s="45"/>
      <c r="B201" s="45"/>
      <c r="C201" s="45"/>
      <c r="D201" s="57"/>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row>
    <row r="202" spans="1:43" ht="15.75" customHeight="1" x14ac:dyDescent="0.15">
      <c r="A202" s="45"/>
      <c r="B202" s="45"/>
      <c r="C202" s="45"/>
      <c r="D202" s="57"/>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row>
    <row r="203" spans="1:43" ht="15.75" customHeight="1" x14ac:dyDescent="0.15">
      <c r="A203" s="45"/>
      <c r="B203" s="45"/>
      <c r="C203" s="45"/>
      <c r="D203" s="57"/>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row>
    <row r="204" spans="1:43" ht="15.75" customHeight="1" x14ac:dyDescent="0.15">
      <c r="A204" s="45"/>
      <c r="B204" s="45"/>
      <c r="C204" s="45"/>
      <c r="D204" s="57"/>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row>
    <row r="205" spans="1:43" ht="15.75" customHeight="1" x14ac:dyDescent="0.15">
      <c r="A205" s="45"/>
      <c r="B205" s="45"/>
      <c r="C205" s="45"/>
      <c r="D205" s="57"/>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row>
    <row r="206" spans="1:43" ht="15.75" customHeight="1" x14ac:dyDescent="0.15">
      <c r="A206" s="45"/>
      <c r="B206" s="45"/>
      <c r="C206" s="45"/>
      <c r="D206" s="57"/>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row>
    <row r="207" spans="1:43" ht="15.75" customHeight="1" x14ac:dyDescent="0.15">
      <c r="A207" s="45"/>
      <c r="B207" s="45"/>
      <c r="C207" s="45"/>
      <c r="D207" s="57"/>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row>
    <row r="208" spans="1:43" ht="15.75" customHeight="1" x14ac:dyDescent="0.15">
      <c r="A208" s="45"/>
      <c r="B208" s="45"/>
      <c r="C208" s="45"/>
      <c r="D208" s="57"/>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row>
    <row r="209" spans="1:43" ht="15.75" customHeight="1" x14ac:dyDescent="0.15">
      <c r="A209" s="45"/>
      <c r="B209" s="45"/>
      <c r="C209" s="45"/>
      <c r="D209" s="57"/>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row>
    <row r="210" spans="1:43" ht="15.75" customHeight="1" x14ac:dyDescent="0.15">
      <c r="A210" s="45"/>
      <c r="B210" s="45"/>
      <c r="C210" s="45"/>
      <c r="D210" s="57"/>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row>
    <row r="211" spans="1:43" ht="15.75" customHeight="1" x14ac:dyDescent="0.15">
      <c r="A211" s="45"/>
      <c r="B211" s="45"/>
      <c r="C211" s="45"/>
      <c r="D211" s="57"/>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row>
    <row r="212" spans="1:43" ht="15.75" customHeight="1" x14ac:dyDescent="0.15">
      <c r="A212" s="45"/>
      <c r="B212" s="45"/>
      <c r="C212" s="45"/>
      <c r="D212" s="57"/>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row>
    <row r="213" spans="1:43" ht="15.75" customHeight="1" x14ac:dyDescent="0.15">
      <c r="A213" s="45"/>
      <c r="B213" s="45"/>
      <c r="C213" s="45"/>
      <c r="D213" s="57"/>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row>
    <row r="214" spans="1:43" ht="15.75" customHeight="1" x14ac:dyDescent="0.15">
      <c r="A214" s="45"/>
      <c r="B214" s="45"/>
      <c r="C214" s="45"/>
      <c r="D214" s="57"/>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row>
    <row r="215" spans="1:43" ht="15.75" customHeight="1" x14ac:dyDescent="0.15">
      <c r="A215" s="45"/>
      <c r="B215" s="45"/>
      <c r="C215" s="45"/>
      <c r="D215" s="57"/>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row>
    <row r="216" spans="1:43" ht="15.75" customHeight="1" x14ac:dyDescent="0.15">
      <c r="A216" s="45"/>
      <c r="B216" s="45"/>
      <c r="C216" s="45"/>
      <c r="D216" s="57"/>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row>
    <row r="217" spans="1:43" ht="15.75" customHeight="1" x14ac:dyDescent="0.15">
      <c r="A217" s="45"/>
      <c r="B217" s="45"/>
      <c r="C217" s="45"/>
      <c r="D217" s="57"/>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row>
    <row r="218" spans="1:43" ht="15.75" customHeight="1" x14ac:dyDescent="0.15">
      <c r="A218" s="45"/>
      <c r="B218" s="45"/>
      <c r="C218" s="45"/>
      <c r="D218" s="57"/>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row>
    <row r="219" spans="1:43" ht="15.75" customHeight="1" x14ac:dyDescent="0.15">
      <c r="A219" s="45"/>
      <c r="B219" s="45"/>
      <c r="C219" s="45"/>
      <c r="D219" s="57"/>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row>
    <row r="220" spans="1:43" ht="15.75" customHeight="1" x14ac:dyDescent="0.15">
      <c r="A220" s="45"/>
      <c r="B220" s="45"/>
      <c r="C220" s="45"/>
      <c r="D220" s="57"/>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row>
    <row r="221" spans="1:43" ht="15.75" customHeight="1" x14ac:dyDescent="0.15">
      <c r="A221" s="45"/>
      <c r="B221" s="45"/>
      <c r="C221" s="45"/>
      <c r="D221" s="57"/>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row>
    <row r="222" spans="1:43" ht="15.75" customHeight="1" x14ac:dyDescent="0.15">
      <c r="A222" s="45"/>
      <c r="B222" s="45"/>
      <c r="C222" s="45"/>
      <c r="D222" s="57"/>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row>
    <row r="223" spans="1:43" ht="15.75" customHeight="1" x14ac:dyDescent="0.15">
      <c r="A223" s="45"/>
      <c r="B223" s="45"/>
      <c r="C223" s="45"/>
      <c r="D223" s="57"/>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row>
    <row r="224" spans="1:43" ht="15.75" customHeight="1" x14ac:dyDescent="0.15">
      <c r="A224" s="45"/>
      <c r="B224" s="45"/>
      <c r="C224" s="45"/>
      <c r="D224" s="57"/>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row>
    <row r="225" spans="1:43" ht="15.75" customHeight="1" x14ac:dyDescent="0.15">
      <c r="A225" s="45"/>
      <c r="B225" s="45"/>
      <c r="C225" s="45"/>
      <c r="D225" s="57"/>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row>
    <row r="226" spans="1:43" ht="15.75" customHeight="1" x14ac:dyDescent="0.15">
      <c r="A226" s="45"/>
      <c r="B226" s="45"/>
      <c r="C226" s="45"/>
      <c r="D226" s="57"/>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row>
    <row r="227" spans="1:43" ht="15.75" customHeight="1" x14ac:dyDescent="0.15">
      <c r="A227" s="45"/>
      <c r="B227" s="45"/>
      <c r="C227" s="45"/>
      <c r="D227" s="57"/>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row>
    <row r="228" spans="1:43" ht="15.75" customHeight="1" x14ac:dyDescent="0.15">
      <c r="A228" s="45"/>
      <c r="B228" s="45"/>
      <c r="C228" s="45"/>
      <c r="D228" s="57"/>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row>
    <row r="229" spans="1:43" ht="15.75" customHeight="1" x14ac:dyDescent="0.15">
      <c r="A229" s="45"/>
      <c r="B229" s="45"/>
      <c r="C229" s="45"/>
      <c r="D229" s="57"/>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row>
    <row r="230" spans="1:43" ht="15.75" customHeight="1" x14ac:dyDescent="0.15">
      <c r="A230" s="45"/>
      <c r="B230" s="45"/>
      <c r="C230" s="45"/>
      <c r="D230" s="57"/>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row>
    <row r="231" spans="1:43" ht="15.75" customHeight="1" x14ac:dyDescent="0.15">
      <c r="A231" s="45"/>
      <c r="B231" s="45"/>
      <c r="C231" s="45"/>
      <c r="D231" s="57"/>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row>
    <row r="232" spans="1:43" ht="15.75" customHeight="1" x14ac:dyDescent="0.15">
      <c r="A232" s="45"/>
      <c r="B232" s="45"/>
      <c r="C232" s="45"/>
      <c r="D232" s="57"/>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row>
    <row r="233" spans="1:43" ht="15.75" customHeight="1" x14ac:dyDescent="0.15">
      <c r="A233" s="45"/>
      <c r="B233" s="45"/>
      <c r="C233" s="45"/>
      <c r="D233" s="57"/>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row>
    <row r="234" spans="1:43" ht="15.75" customHeight="1" x14ac:dyDescent="0.15">
      <c r="A234" s="45"/>
      <c r="B234" s="45"/>
      <c r="C234" s="45"/>
      <c r="D234" s="57"/>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row>
    <row r="235" spans="1:43" ht="15.75" customHeight="1" x14ac:dyDescent="0.15">
      <c r="A235" s="45"/>
      <c r="B235" s="45"/>
      <c r="C235" s="45"/>
      <c r="D235" s="57"/>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row>
    <row r="236" spans="1:43" ht="15.75" customHeight="1" x14ac:dyDescent="0.15">
      <c r="A236" s="45"/>
      <c r="B236" s="45"/>
      <c r="C236" s="45"/>
      <c r="D236" s="57"/>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row>
    <row r="237" spans="1:43" ht="15.75" customHeight="1" x14ac:dyDescent="0.15">
      <c r="A237" s="45"/>
      <c r="B237" s="45"/>
      <c r="C237" s="45"/>
      <c r="D237" s="57"/>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row>
    <row r="238" spans="1:43" ht="15.75" customHeight="1" x14ac:dyDescent="0.15">
      <c r="A238" s="45"/>
      <c r="B238" s="45"/>
      <c r="C238" s="45"/>
      <c r="D238" s="57"/>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row>
    <row r="239" spans="1:43" ht="15.75" customHeight="1" x14ac:dyDescent="0.15">
      <c r="A239" s="45"/>
      <c r="B239" s="45"/>
      <c r="C239" s="45"/>
      <c r="D239" s="57"/>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row>
    <row r="240" spans="1:43" ht="15.75" customHeight="1" x14ac:dyDescent="0.15">
      <c r="A240" s="45"/>
      <c r="B240" s="45"/>
      <c r="C240" s="45"/>
      <c r="D240" s="57"/>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row>
    <row r="241" spans="1:43" ht="15.75" customHeight="1" x14ac:dyDescent="0.15">
      <c r="A241" s="45"/>
      <c r="B241" s="45"/>
      <c r="C241" s="45"/>
      <c r="D241" s="57"/>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row>
    <row r="242" spans="1:43" ht="15.75" customHeight="1" x14ac:dyDescent="0.15">
      <c r="A242" s="45"/>
      <c r="B242" s="45"/>
      <c r="C242" s="45"/>
      <c r="D242" s="57"/>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row>
    <row r="243" spans="1:43" ht="15.75" customHeight="1" x14ac:dyDescent="0.15">
      <c r="A243" s="45"/>
      <c r="B243" s="45"/>
      <c r="C243" s="45"/>
      <c r="D243" s="57"/>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row>
    <row r="244" spans="1:43" ht="15.75" customHeight="1" x14ac:dyDescent="0.15">
      <c r="A244" s="45"/>
      <c r="B244" s="45"/>
      <c r="C244" s="45"/>
      <c r="D244" s="57"/>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row>
    <row r="245" spans="1:43" ht="15.75" customHeight="1" x14ac:dyDescent="0.15">
      <c r="A245" s="45"/>
      <c r="B245" s="45"/>
      <c r="C245" s="45"/>
      <c r="D245" s="57"/>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row>
    <row r="246" spans="1:43" ht="15.75" customHeight="1" x14ac:dyDescent="0.15">
      <c r="A246" s="45"/>
      <c r="B246" s="45"/>
      <c r="C246" s="45"/>
      <c r="D246" s="57"/>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row>
    <row r="247" spans="1:43" ht="15.75" customHeight="1" x14ac:dyDescent="0.15">
      <c r="A247" s="45"/>
      <c r="B247" s="45"/>
      <c r="C247" s="45"/>
      <c r="D247" s="57"/>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row>
    <row r="248" spans="1:43" ht="15.75" customHeight="1" x14ac:dyDescent="0.15">
      <c r="A248" s="45"/>
      <c r="B248" s="45"/>
      <c r="C248" s="45"/>
      <c r="D248" s="57"/>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row>
    <row r="249" spans="1:43" ht="15.75" customHeight="1" x14ac:dyDescent="0.15">
      <c r="A249" s="45"/>
      <c r="B249" s="45"/>
      <c r="C249" s="45"/>
      <c r="D249" s="57"/>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row>
    <row r="250" spans="1:43" ht="15.75" customHeight="1" x14ac:dyDescent="0.15">
      <c r="A250" s="45"/>
      <c r="B250" s="45"/>
      <c r="C250" s="45"/>
      <c r="D250" s="57"/>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row>
    <row r="251" spans="1:43" ht="15.75" customHeight="1" x14ac:dyDescent="0.15">
      <c r="A251" s="45"/>
      <c r="B251" s="45"/>
      <c r="C251" s="45"/>
      <c r="D251" s="57"/>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row>
    <row r="252" spans="1:43" ht="15.75" customHeight="1" x14ac:dyDescent="0.15">
      <c r="A252" s="45"/>
      <c r="B252" s="45"/>
      <c r="C252" s="45"/>
      <c r="D252" s="57"/>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row>
    <row r="253" spans="1:43" ht="15.75" customHeight="1" x14ac:dyDescent="0.15">
      <c r="A253" s="45"/>
      <c r="B253" s="45"/>
      <c r="C253" s="45"/>
      <c r="D253" s="57"/>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row>
    <row r="254" spans="1:43" ht="15.75" customHeight="1" x14ac:dyDescent="0.15">
      <c r="A254" s="45"/>
      <c r="B254" s="45"/>
      <c r="C254" s="45"/>
      <c r="D254" s="57"/>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row>
    <row r="255" spans="1:43" ht="15.75" customHeight="1" x14ac:dyDescent="0.15">
      <c r="A255" s="45"/>
      <c r="B255" s="45"/>
      <c r="C255" s="45"/>
      <c r="D255" s="57"/>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row>
    <row r="256" spans="1:43" ht="15.75" customHeight="1" x14ac:dyDescent="0.15">
      <c r="A256" s="45"/>
      <c r="B256" s="45"/>
      <c r="C256" s="45"/>
      <c r="D256" s="57"/>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row>
    <row r="257" spans="1:43" ht="15.75" customHeight="1" x14ac:dyDescent="0.15">
      <c r="A257" s="45"/>
      <c r="B257" s="45"/>
      <c r="C257" s="45"/>
      <c r="D257" s="57"/>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row>
    <row r="258" spans="1:43" ht="15.75" customHeight="1" x14ac:dyDescent="0.15">
      <c r="A258" s="45"/>
      <c r="B258" s="45"/>
      <c r="C258" s="45"/>
      <c r="D258" s="57"/>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row>
    <row r="259" spans="1:43" ht="15.75" customHeight="1" x14ac:dyDescent="0.15">
      <c r="A259" s="45"/>
      <c r="B259" s="45"/>
      <c r="C259" s="45"/>
      <c r="D259" s="57"/>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row>
    <row r="260" spans="1:43" ht="15.75" customHeight="1" x14ac:dyDescent="0.15">
      <c r="A260" s="45"/>
      <c r="B260" s="45"/>
      <c r="C260" s="45"/>
      <c r="D260" s="57"/>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row>
    <row r="261" spans="1:43" ht="15.75" customHeight="1" x14ac:dyDescent="0.15">
      <c r="A261" s="45"/>
      <c r="B261" s="45"/>
      <c r="C261" s="45"/>
      <c r="D261" s="57"/>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row>
    <row r="262" spans="1:43" ht="15.75" customHeight="1" x14ac:dyDescent="0.15">
      <c r="A262" s="45"/>
      <c r="B262" s="45"/>
      <c r="C262" s="45"/>
      <c r="D262" s="57"/>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row>
    <row r="263" spans="1:43" ht="15.75" customHeight="1" x14ac:dyDescent="0.15">
      <c r="A263" s="45"/>
      <c r="B263" s="45"/>
      <c r="C263" s="45"/>
      <c r="D263" s="57"/>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row>
    <row r="264" spans="1:43" ht="15.75" customHeight="1" x14ac:dyDescent="0.15">
      <c r="A264" s="45"/>
      <c r="B264" s="45"/>
      <c r="C264" s="45"/>
      <c r="D264" s="57"/>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row>
    <row r="265" spans="1:43" ht="15.75" customHeight="1" x14ac:dyDescent="0.15">
      <c r="A265" s="45"/>
      <c r="B265" s="45"/>
      <c r="C265" s="45"/>
      <c r="D265" s="57"/>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row>
    <row r="266" spans="1:43" ht="15.75" customHeight="1" x14ac:dyDescent="0.15">
      <c r="A266" s="45"/>
      <c r="B266" s="45"/>
      <c r="C266" s="45"/>
      <c r="D266" s="57"/>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row>
    <row r="267" spans="1:43" ht="15.75" customHeight="1" x14ac:dyDescent="0.15">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row>
    <row r="268" spans="1:43" ht="15.75" customHeight="1" x14ac:dyDescent="0.15">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row>
    <row r="269" spans="1:43" ht="15.75" customHeight="1" x14ac:dyDescent="0.15">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row>
    <row r="270" spans="1:43" ht="15.75" customHeight="1" x14ac:dyDescent="0.15">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row>
    <row r="271" spans="1:43" ht="15.75" customHeight="1" x14ac:dyDescent="0.15">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row>
    <row r="272" spans="1:43" ht="15.75" customHeight="1" x14ac:dyDescent="0.15">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row>
    <row r="273" spans="1:43" ht="15.75" customHeight="1" x14ac:dyDescent="0.15">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row>
    <row r="274" spans="1:43" ht="15.75" customHeight="1" x14ac:dyDescent="0.15">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row>
    <row r="275" spans="1:43" ht="15.75" customHeight="1" x14ac:dyDescent="0.1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row>
    <row r="276" spans="1:43" ht="15.75" customHeight="1" x14ac:dyDescent="0.15">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row>
    <row r="277" spans="1:43" ht="15.75" customHeight="1" x14ac:dyDescent="0.15">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row>
    <row r="278" spans="1:43" ht="15.75" customHeight="1" x14ac:dyDescent="0.15">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row>
    <row r="279" spans="1:43" ht="15.75" customHeight="1" x14ac:dyDescent="0.15">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row>
    <row r="280" spans="1:43" ht="15.75" customHeight="1" x14ac:dyDescent="0.15">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row>
    <row r="281" spans="1:43" ht="15.75" customHeight="1" x14ac:dyDescent="0.15">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row>
    <row r="282" spans="1:43" ht="15.75" customHeight="1" x14ac:dyDescent="0.15">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row>
    <row r="283" spans="1:43" ht="15.75" customHeight="1" x14ac:dyDescent="0.15">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row>
    <row r="284" spans="1:43" ht="15.75" customHeight="1" x14ac:dyDescent="0.15">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row>
    <row r="285" spans="1:43" ht="15.75" customHeight="1" x14ac:dyDescent="0.1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row>
    <row r="286" spans="1:43" ht="15.75" customHeight="1" x14ac:dyDescent="0.15">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row>
    <row r="287" spans="1:43" ht="15.75" customHeight="1" x14ac:dyDescent="0.15">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row>
    <row r="288" spans="1:43" ht="15.75" customHeight="1" x14ac:dyDescent="0.15">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row>
    <row r="289" spans="1:43" ht="15.75" customHeight="1" x14ac:dyDescent="0.15">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row>
    <row r="290" spans="1:43" ht="15.75" customHeight="1" x14ac:dyDescent="0.15">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c r="AP290" s="45"/>
      <c r="AQ290" s="45"/>
    </row>
    <row r="291" spans="1:43" ht="15.75" customHeight="1" x14ac:dyDescent="0.15">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row>
    <row r="292" spans="1:43" ht="15.75" customHeight="1" x14ac:dyDescent="0.15">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c r="AP292" s="45"/>
      <c r="AQ292" s="45"/>
    </row>
    <row r="293" spans="1:43" ht="15.75" customHeight="1" x14ac:dyDescent="0.15">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c r="AP293" s="45"/>
      <c r="AQ293" s="45"/>
    </row>
    <row r="294" spans="1:43" ht="15.75" customHeight="1" x14ac:dyDescent="0.15">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c r="AP294" s="45"/>
      <c r="AQ294" s="45"/>
    </row>
    <row r="295" spans="1:43" ht="15.75" customHeight="1" x14ac:dyDescent="0.1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row>
    <row r="296" spans="1:43" ht="15.75" customHeight="1" x14ac:dyDescent="0.15">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row>
    <row r="297" spans="1:43" ht="15.75" customHeight="1" x14ac:dyDescent="0.15">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row>
    <row r="298" spans="1:43" ht="15.75" customHeight="1" x14ac:dyDescent="0.15">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c r="AP298" s="45"/>
      <c r="AQ298" s="45"/>
    </row>
    <row r="299" spans="1:43" ht="15.75" customHeight="1" x14ac:dyDescent="0.15">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row>
    <row r="300" spans="1:43" ht="15.75" customHeight="1" x14ac:dyDescent="0.15">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c r="AP300" s="45"/>
      <c r="AQ300" s="45"/>
    </row>
    <row r="301" spans="1:43" ht="15.75" customHeight="1" x14ac:dyDescent="0.15">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c r="AP301" s="45"/>
      <c r="AQ301" s="45"/>
    </row>
    <row r="302" spans="1:43" ht="15.75" customHeight="1" x14ac:dyDescent="0.15">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c r="AP302" s="45"/>
      <c r="AQ302" s="45"/>
    </row>
    <row r="303" spans="1:43" ht="15.75" customHeight="1" x14ac:dyDescent="0.15">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c r="AP303" s="45"/>
      <c r="AQ303" s="45"/>
    </row>
    <row r="304" spans="1:43" ht="15.75" customHeight="1" x14ac:dyDescent="0.15">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row>
    <row r="305" spans="1:43" ht="15.75" customHeight="1" x14ac:dyDescent="0.1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row>
    <row r="306" spans="1:43" ht="15.75" customHeight="1" x14ac:dyDescent="0.15">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row>
    <row r="307" spans="1:43" ht="15.75" customHeight="1" x14ac:dyDescent="0.15">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row>
    <row r="308" spans="1:43" ht="15.75" customHeight="1" x14ac:dyDescent="0.15">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row>
    <row r="309" spans="1:43" ht="15.75" customHeight="1" x14ac:dyDescent="0.15">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row>
    <row r="310" spans="1:43" ht="15.75" customHeight="1" x14ac:dyDescent="0.15">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row>
    <row r="311" spans="1:43" ht="15.75" customHeight="1" x14ac:dyDescent="0.15">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row>
    <row r="312" spans="1:43" ht="15.75" customHeight="1" x14ac:dyDescent="0.15">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row>
    <row r="313" spans="1:43" ht="15.75" customHeight="1" x14ac:dyDescent="0.15">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row>
    <row r="314" spans="1:43" ht="15.75" customHeight="1" x14ac:dyDescent="0.15">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row>
    <row r="315" spans="1:43" ht="15.75" customHeight="1" x14ac:dyDescent="0.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row>
    <row r="316" spans="1:43" ht="15.75" customHeight="1" x14ac:dyDescent="0.15">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row>
    <row r="317" spans="1:43" ht="15.75" customHeight="1" x14ac:dyDescent="0.15">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row>
    <row r="318" spans="1:43" ht="15.75" customHeight="1" x14ac:dyDescent="0.15">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row>
    <row r="319" spans="1:43" ht="15.75" customHeight="1" x14ac:dyDescent="0.15">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row>
    <row r="320" spans="1:43" ht="15.75" customHeight="1" x14ac:dyDescent="0.15">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row>
    <row r="321" spans="1:43" ht="15.75" customHeight="1" x14ac:dyDescent="0.15">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row>
    <row r="322" spans="1:43" ht="15.75" customHeight="1" x14ac:dyDescent="0.15">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row>
    <row r="323" spans="1:43" ht="15.75" customHeight="1" x14ac:dyDescent="0.15">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row>
    <row r="324" spans="1:43" ht="15.75" customHeight="1" x14ac:dyDescent="0.15">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row>
    <row r="325" spans="1:43" ht="15.75" customHeight="1" x14ac:dyDescent="0.1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row>
    <row r="326" spans="1:43" ht="15.75" customHeight="1" x14ac:dyDescent="0.15">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row>
    <row r="327" spans="1:43" ht="15.75" customHeight="1" x14ac:dyDescent="0.15">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row>
    <row r="328" spans="1:43" ht="15.75" customHeight="1" x14ac:dyDescent="0.15">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row>
    <row r="329" spans="1:43" ht="15.75" customHeight="1" x14ac:dyDescent="0.15">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row>
    <row r="330" spans="1:43" ht="15.75" customHeight="1" x14ac:dyDescent="0.15">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row>
    <row r="331" spans="1:43" ht="15.75" customHeight="1" x14ac:dyDescent="0.15">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row>
    <row r="332" spans="1:43" ht="15.75" customHeight="1" x14ac:dyDescent="0.15">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row>
    <row r="333" spans="1:43" ht="15.75" customHeight="1" x14ac:dyDescent="0.15">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row>
    <row r="334" spans="1:43" ht="15.75" customHeight="1" x14ac:dyDescent="0.15">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row>
    <row r="335" spans="1:43" ht="15.75" customHeight="1" x14ac:dyDescent="0.1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row>
    <row r="336" spans="1:43" ht="15.75" customHeight="1" x14ac:dyDescent="0.15">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row>
    <row r="337" spans="1:43" ht="15.75" customHeight="1" x14ac:dyDescent="0.15">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row>
    <row r="338" spans="1:43" ht="15.75" customHeight="1" x14ac:dyDescent="0.15">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row>
    <row r="339" spans="1:43" ht="15.75" customHeight="1" x14ac:dyDescent="0.15">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row>
    <row r="340" spans="1:43" ht="15.75" customHeight="1" x14ac:dyDescent="0.15">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row>
    <row r="341" spans="1:43" ht="15.75" customHeight="1" x14ac:dyDescent="0.15">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row>
    <row r="342" spans="1:43" ht="15.75" customHeight="1" x14ac:dyDescent="0.15">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row>
    <row r="343" spans="1:43" ht="15.75" customHeight="1" x14ac:dyDescent="0.15">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row>
    <row r="344" spans="1:43" ht="15.75" customHeight="1" x14ac:dyDescent="0.15">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row>
    <row r="345" spans="1:43" ht="15.75" customHeight="1" x14ac:dyDescent="0.1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row>
    <row r="346" spans="1:43" ht="15.75" customHeight="1" x14ac:dyDescent="0.15">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row>
    <row r="347" spans="1:43" ht="15.75" customHeight="1" x14ac:dyDescent="0.15">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row>
    <row r="348" spans="1:43" ht="15.75" customHeight="1" x14ac:dyDescent="0.15">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row>
    <row r="349" spans="1:43" ht="15.75" customHeight="1" x14ac:dyDescent="0.15">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row>
    <row r="350" spans="1:43" ht="15.75" customHeight="1" x14ac:dyDescent="0.15">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row>
    <row r="351" spans="1:43" ht="15.75" customHeight="1" x14ac:dyDescent="0.15">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row>
    <row r="352" spans="1:43" ht="15.75" customHeight="1" x14ac:dyDescent="0.15">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row>
    <row r="353" spans="1:43" ht="15.75" customHeight="1" x14ac:dyDescent="0.15">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row>
    <row r="354" spans="1:43" ht="15.75" customHeight="1" x14ac:dyDescent="0.15">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row>
    <row r="355" spans="1:43" ht="15.75" customHeight="1" x14ac:dyDescent="0.1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row>
    <row r="356" spans="1:43" ht="15.75" customHeight="1" x14ac:dyDescent="0.15">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row>
    <row r="357" spans="1:43" ht="15.75" customHeight="1" x14ac:dyDescent="0.15">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row>
    <row r="358" spans="1:43" ht="15.75" customHeight="1" x14ac:dyDescent="0.15">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row>
    <row r="359" spans="1:43" ht="15.75" customHeight="1" x14ac:dyDescent="0.15">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row>
    <row r="360" spans="1:43" ht="15.75" customHeight="1" x14ac:dyDescent="0.15">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row>
    <row r="361" spans="1:43" ht="15.75" customHeight="1" x14ac:dyDescent="0.15">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row>
    <row r="362" spans="1:43" ht="15.75" customHeight="1" x14ac:dyDescent="0.15">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c r="AP362" s="45"/>
      <c r="AQ362" s="45"/>
    </row>
    <row r="363" spans="1:43" ht="15.75" customHeight="1" x14ac:dyDescent="0.15">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row>
    <row r="364" spans="1:43" ht="15.75" customHeight="1" x14ac:dyDescent="0.15">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c r="AP364" s="45"/>
      <c r="AQ364" s="45"/>
    </row>
    <row r="365" spans="1:43" ht="15.75" customHeight="1" x14ac:dyDescent="0.1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c r="AP365" s="45"/>
      <c r="AQ365" s="45"/>
    </row>
    <row r="366" spans="1:43" ht="15.75" customHeight="1" x14ac:dyDescent="0.15">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row>
    <row r="367" spans="1:43" ht="15.75" customHeight="1" x14ac:dyDescent="0.15">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c r="AP367" s="45"/>
      <c r="AQ367" s="45"/>
    </row>
    <row r="368" spans="1:43" ht="15.75" customHeight="1" x14ac:dyDescent="0.15">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row>
    <row r="369" spans="1:43" ht="15.75" customHeight="1" x14ac:dyDescent="0.15">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c r="AP369" s="45"/>
      <c r="AQ369" s="45"/>
    </row>
    <row r="370" spans="1:43" ht="15.75" customHeight="1" x14ac:dyDescent="0.15">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c r="AP370" s="45"/>
      <c r="AQ370" s="45"/>
    </row>
    <row r="371" spans="1:43" ht="15.75" customHeight="1" x14ac:dyDescent="0.15">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c r="AJ371" s="45"/>
      <c r="AK371" s="45"/>
      <c r="AL371" s="45"/>
      <c r="AM371" s="45"/>
      <c r="AN371" s="45"/>
      <c r="AO371" s="45"/>
      <c r="AP371" s="45"/>
      <c r="AQ371" s="45"/>
    </row>
    <row r="372" spans="1:43" ht="15.75" customHeight="1" x14ac:dyDescent="0.15">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c r="AJ372" s="45"/>
      <c r="AK372" s="45"/>
      <c r="AL372" s="45"/>
      <c r="AM372" s="45"/>
      <c r="AN372" s="45"/>
      <c r="AO372" s="45"/>
      <c r="AP372" s="45"/>
      <c r="AQ372" s="45"/>
    </row>
    <row r="373" spans="1:43" ht="15.75" customHeight="1" x14ac:dyDescent="0.15">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c r="AJ373" s="45"/>
      <c r="AK373" s="45"/>
      <c r="AL373" s="45"/>
      <c r="AM373" s="45"/>
      <c r="AN373" s="45"/>
      <c r="AO373" s="45"/>
      <c r="AP373" s="45"/>
      <c r="AQ373" s="45"/>
    </row>
    <row r="374" spans="1:43" ht="15.75" customHeight="1" x14ac:dyDescent="0.15">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c r="AJ374" s="45"/>
      <c r="AK374" s="45"/>
      <c r="AL374" s="45"/>
      <c r="AM374" s="45"/>
      <c r="AN374" s="45"/>
      <c r="AO374" s="45"/>
      <c r="AP374" s="45"/>
      <c r="AQ374" s="45"/>
    </row>
    <row r="375" spans="1:43" ht="15.75" customHeight="1" x14ac:dyDescent="0.1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c r="AJ375" s="45"/>
      <c r="AK375" s="45"/>
      <c r="AL375" s="45"/>
      <c r="AM375" s="45"/>
      <c r="AN375" s="45"/>
      <c r="AO375" s="45"/>
      <c r="AP375" s="45"/>
      <c r="AQ375" s="45"/>
    </row>
    <row r="376" spans="1:43" ht="15.75" customHeight="1" x14ac:dyDescent="0.15">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c r="AJ376" s="45"/>
      <c r="AK376" s="45"/>
      <c r="AL376" s="45"/>
      <c r="AM376" s="45"/>
      <c r="AN376" s="45"/>
      <c r="AO376" s="45"/>
      <c r="AP376" s="45"/>
      <c r="AQ376" s="45"/>
    </row>
    <row r="377" spans="1:43" ht="15.75" customHeight="1" x14ac:dyDescent="0.15">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c r="AJ377" s="45"/>
      <c r="AK377" s="45"/>
      <c r="AL377" s="45"/>
      <c r="AM377" s="45"/>
      <c r="AN377" s="45"/>
      <c r="AO377" s="45"/>
      <c r="AP377" s="45"/>
      <c r="AQ377" s="45"/>
    </row>
    <row r="378" spans="1:43" ht="15.75" customHeight="1" x14ac:dyDescent="0.15">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c r="AP378" s="45"/>
      <c r="AQ378" s="45"/>
    </row>
    <row r="379" spans="1:43" ht="15.75" customHeight="1" x14ac:dyDescent="0.15">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c r="AJ379" s="45"/>
      <c r="AK379" s="45"/>
      <c r="AL379" s="45"/>
      <c r="AM379" s="45"/>
      <c r="AN379" s="45"/>
      <c r="AO379" s="45"/>
      <c r="AP379" s="45"/>
      <c r="AQ379" s="45"/>
    </row>
    <row r="380" spans="1:43" ht="15.75" customHeight="1" x14ac:dyDescent="0.15">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c r="AJ380" s="45"/>
      <c r="AK380" s="45"/>
      <c r="AL380" s="45"/>
      <c r="AM380" s="45"/>
      <c r="AN380" s="45"/>
      <c r="AO380" s="45"/>
      <c r="AP380" s="45"/>
      <c r="AQ380" s="45"/>
    </row>
    <row r="381" spans="1:43" ht="15.75" customHeight="1" x14ac:dyDescent="0.15">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c r="AJ381" s="45"/>
      <c r="AK381" s="45"/>
      <c r="AL381" s="45"/>
      <c r="AM381" s="45"/>
      <c r="AN381" s="45"/>
      <c r="AO381" s="45"/>
      <c r="AP381" s="45"/>
      <c r="AQ381" s="45"/>
    </row>
    <row r="382" spans="1:43" ht="15.75" customHeight="1" x14ac:dyDescent="0.15">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row>
    <row r="383" spans="1:43" ht="15.75" customHeight="1" x14ac:dyDescent="0.15">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c r="AP383" s="45"/>
      <c r="AQ383" s="45"/>
    </row>
    <row r="384" spans="1:43" ht="15.75" customHeight="1" x14ac:dyDescent="0.15">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c r="AJ384" s="45"/>
      <c r="AK384" s="45"/>
      <c r="AL384" s="45"/>
      <c r="AM384" s="45"/>
      <c r="AN384" s="45"/>
      <c r="AO384" s="45"/>
      <c r="AP384" s="45"/>
      <c r="AQ384" s="45"/>
    </row>
    <row r="385" spans="1:43" ht="15.75" customHeight="1" x14ac:dyDescent="0.1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c r="AP385" s="45"/>
      <c r="AQ385" s="45"/>
    </row>
    <row r="386" spans="1:43" ht="15.75" customHeight="1" x14ac:dyDescent="0.15">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c r="AJ386" s="45"/>
      <c r="AK386" s="45"/>
      <c r="AL386" s="45"/>
      <c r="AM386" s="45"/>
      <c r="AN386" s="45"/>
      <c r="AO386" s="45"/>
      <c r="AP386" s="45"/>
      <c r="AQ386" s="45"/>
    </row>
    <row r="387" spans="1:43" ht="15.75" customHeight="1" x14ac:dyDescent="0.15">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c r="AJ387" s="45"/>
      <c r="AK387" s="45"/>
      <c r="AL387" s="45"/>
      <c r="AM387" s="45"/>
      <c r="AN387" s="45"/>
      <c r="AO387" s="45"/>
      <c r="AP387" s="45"/>
      <c r="AQ387" s="45"/>
    </row>
    <row r="388" spans="1:43" ht="15.75" customHeight="1" x14ac:dyDescent="0.15">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row>
    <row r="389" spans="1:43" ht="15.75" customHeight="1" x14ac:dyDescent="0.15">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c r="AP389" s="45"/>
      <c r="AQ389" s="45"/>
    </row>
    <row r="390" spans="1:43" ht="15.75" customHeight="1" x14ac:dyDescent="0.15">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c r="AJ390" s="45"/>
      <c r="AK390" s="45"/>
      <c r="AL390" s="45"/>
      <c r="AM390" s="45"/>
      <c r="AN390" s="45"/>
      <c r="AO390" s="45"/>
      <c r="AP390" s="45"/>
      <c r="AQ390" s="45"/>
    </row>
    <row r="391" spans="1:43" ht="15.75" customHeight="1" x14ac:dyDescent="0.15">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c r="AP391" s="45"/>
      <c r="AQ391" s="45"/>
    </row>
    <row r="392" spans="1:43" ht="15.75" customHeight="1" x14ac:dyDescent="0.15">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c r="AJ392" s="45"/>
      <c r="AK392" s="45"/>
      <c r="AL392" s="45"/>
      <c r="AM392" s="45"/>
      <c r="AN392" s="45"/>
      <c r="AO392" s="45"/>
      <c r="AP392" s="45"/>
      <c r="AQ392" s="45"/>
    </row>
    <row r="393" spans="1:43" ht="15.75" customHeight="1" x14ac:dyDescent="0.15">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c r="AJ393" s="45"/>
      <c r="AK393" s="45"/>
      <c r="AL393" s="45"/>
      <c r="AM393" s="45"/>
      <c r="AN393" s="45"/>
      <c r="AO393" s="45"/>
      <c r="AP393" s="45"/>
      <c r="AQ393" s="45"/>
    </row>
    <row r="394" spans="1:43" ht="15.75" customHeight="1" x14ac:dyDescent="0.15">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c r="AJ394" s="45"/>
      <c r="AK394" s="45"/>
      <c r="AL394" s="45"/>
      <c r="AM394" s="45"/>
      <c r="AN394" s="45"/>
      <c r="AO394" s="45"/>
      <c r="AP394" s="45"/>
      <c r="AQ394" s="45"/>
    </row>
    <row r="395" spans="1:43" ht="15.75" customHeight="1" x14ac:dyDescent="0.1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row>
    <row r="396" spans="1:43" ht="15.75" customHeight="1" x14ac:dyDescent="0.15">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c r="AJ396" s="45"/>
      <c r="AK396" s="45"/>
      <c r="AL396" s="45"/>
      <c r="AM396" s="45"/>
      <c r="AN396" s="45"/>
      <c r="AO396" s="45"/>
      <c r="AP396" s="45"/>
      <c r="AQ396" s="45"/>
    </row>
    <row r="397" spans="1:43" ht="15.75" customHeight="1" x14ac:dyDescent="0.15">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c r="AJ397" s="45"/>
      <c r="AK397" s="45"/>
      <c r="AL397" s="45"/>
      <c r="AM397" s="45"/>
      <c r="AN397" s="45"/>
      <c r="AO397" s="45"/>
      <c r="AP397" s="45"/>
      <c r="AQ397" s="45"/>
    </row>
    <row r="398" spans="1:43" ht="15.75" customHeight="1" x14ac:dyDescent="0.15">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c r="AJ398" s="45"/>
      <c r="AK398" s="45"/>
      <c r="AL398" s="45"/>
      <c r="AM398" s="45"/>
      <c r="AN398" s="45"/>
      <c r="AO398" s="45"/>
      <c r="AP398" s="45"/>
      <c r="AQ398" s="45"/>
    </row>
    <row r="399" spans="1:43" ht="15.75" customHeight="1" x14ac:dyDescent="0.15">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c r="AJ399" s="45"/>
      <c r="AK399" s="45"/>
      <c r="AL399" s="45"/>
      <c r="AM399" s="45"/>
      <c r="AN399" s="45"/>
      <c r="AO399" s="45"/>
      <c r="AP399" s="45"/>
      <c r="AQ399" s="45"/>
    </row>
    <row r="400" spans="1:43" ht="15.75" customHeight="1" x14ac:dyDescent="0.15">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c r="AP400" s="45"/>
      <c r="AQ400" s="45"/>
    </row>
    <row r="401" spans="1:43" ht="15.75" customHeight="1" x14ac:dyDescent="0.15">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O401" s="45"/>
      <c r="AP401" s="45"/>
      <c r="AQ401" s="45"/>
    </row>
    <row r="402" spans="1:43" ht="15.75" customHeight="1" x14ac:dyDescent="0.15">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c r="AJ402" s="45"/>
      <c r="AK402" s="45"/>
      <c r="AL402" s="45"/>
      <c r="AM402" s="45"/>
      <c r="AN402" s="45"/>
      <c r="AO402" s="45"/>
      <c r="AP402" s="45"/>
      <c r="AQ402" s="45"/>
    </row>
    <row r="403" spans="1:43" ht="15.75" customHeight="1" x14ac:dyDescent="0.15">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O403" s="45"/>
      <c r="AP403" s="45"/>
      <c r="AQ403" s="45"/>
    </row>
    <row r="404" spans="1:43" ht="15.75" customHeight="1" x14ac:dyDescent="0.15">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c r="AP404" s="45"/>
      <c r="AQ404" s="45"/>
    </row>
    <row r="405" spans="1:43" ht="15.75" customHeight="1" x14ac:dyDescent="0.1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O405" s="45"/>
      <c r="AP405" s="45"/>
      <c r="AQ405" s="45"/>
    </row>
    <row r="406" spans="1:43" ht="15.75" customHeight="1" x14ac:dyDescent="0.15">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c r="AJ406" s="45"/>
      <c r="AK406" s="45"/>
      <c r="AL406" s="45"/>
      <c r="AM406" s="45"/>
      <c r="AN406" s="45"/>
      <c r="AO406" s="45"/>
      <c r="AP406" s="45"/>
      <c r="AQ406" s="45"/>
    </row>
    <row r="407" spans="1:43" ht="15.75" customHeight="1" x14ac:dyDescent="0.15">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c r="AP407" s="45"/>
      <c r="AQ407" s="45"/>
    </row>
    <row r="408" spans="1:43" ht="15.75" customHeight="1" x14ac:dyDescent="0.15">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c r="AP408" s="45"/>
      <c r="AQ408" s="45"/>
    </row>
    <row r="409" spans="1:43" ht="15.75" customHeight="1" x14ac:dyDescent="0.15">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c r="AP409" s="45"/>
      <c r="AQ409" s="45"/>
    </row>
    <row r="410" spans="1:43" ht="15.75" customHeight="1" x14ac:dyDescent="0.15">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c r="AP410" s="45"/>
      <c r="AQ410" s="45"/>
    </row>
    <row r="411" spans="1:43" ht="15.75" customHeight="1" x14ac:dyDescent="0.15">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c r="AP411" s="45"/>
      <c r="AQ411" s="45"/>
    </row>
    <row r="412" spans="1:43" ht="15.75" customHeight="1" x14ac:dyDescent="0.15">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c r="AP412" s="45"/>
      <c r="AQ412" s="45"/>
    </row>
    <row r="413" spans="1:43" ht="15.75" customHeight="1" x14ac:dyDescent="0.15">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c r="AJ413" s="45"/>
      <c r="AK413" s="45"/>
      <c r="AL413" s="45"/>
      <c r="AM413" s="45"/>
      <c r="AN413" s="45"/>
      <c r="AO413" s="45"/>
      <c r="AP413" s="45"/>
      <c r="AQ413" s="45"/>
    </row>
    <row r="414" spans="1:43" ht="15.75" customHeight="1" x14ac:dyDescent="0.15">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c r="AP414" s="45"/>
      <c r="AQ414" s="45"/>
    </row>
    <row r="415" spans="1:43" ht="15.75" customHeight="1" x14ac:dyDescent="0.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c r="AP415" s="45"/>
      <c r="AQ415" s="45"/>
    </row>
    <row r="416" spans="1:43" ht="15.75" customHeight="1" x14ac:dyDescent="0.15">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c r="AP416" s="45"/>
      <c r="AQ416" s="45"/>
    </row>
    <row r="417" spans="1:43" ht="15.75" customHeight="1" x14ac:dyDescent="0.15">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c r="AP417" s="45"/>
      <c r="AQ417" s="45"/>
    </row>
    <row r="418" spans="1:43" ht="15.75" customHeight="1" x14ac:dyDescent="0.15">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c r="AP418" s="45"/>
      <c r="AQ418" s="45"/>
    </row>
    <row r="419" spans="1:43" ht="15.75" customHeight="1" x14ac:dyDescent="0.15">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c r="AP419" s="45"/>
      <c r="AQ419" s="45"/>
    </row>
    <row r="420" spans="1:43" ht="15.75" customHeight="1" x14ac:dyDescent="0.15">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c r="AJ420" s="45"/>
      <c r="AK420" s="45"/>
      <c r="AL420" s="45"/>
      <c r="AM420" s="45"/>
      <c r="AN420" s="45"/>
      <c r="AO420" s="45"/>
      <c r="AP420" s="45"/>
      <c r="AQ420" s="45"/>
    </row>
    <row r="421" spans="1:43" ht="15.75" customHeight="1" x14ac:dyDescent="0.15">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c r="AP421" s="45"/>
      <c r="AQ421" s="45"/>
    </row>
    <row r="422" spans="1:43" ht="15.75" customHeight="1" x14ac:dyDescent="0.15">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c r="AP422" s="45"/>
      <c r="AQ422" s="45"/>
    </row>
    <row r="423" spans="1:43" ht="15.75" customHeight="1" x14ac:dyDescent="0.15">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c r="AP423" s="45"/>
      <c r="AQ423" s="45"/>
    </row>
    <row r="424" spans="1:43" ht="15.75" customHeight="1" x14ac:dyDescent="0.15">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c r="AP424" s="45"/>
      <c r="AQ424" s="45"/>
    </row>
    <row r="425" spans="1:43" ht="15.75" customHeight="1" x14ac:dyDescent="0.1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row>
    <row r="426" spans="1:43" ht="15.75" customHeight="1" x14ac:dyDescent="0.15">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row>
    <row r="427" spans="1:43" ht="15.75" customHeight="1" x14ac:dyDescent="0.15">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row>
    <row r="428" spans="1:43" ht="15.75" customHeight="1" x14ac:dyDescent="0.15">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c r="AP428" s="45"/>
      <c r="AQ428" s="45"/>
    </row>
    <row r="429" spans="1:43" ht="15.75" customHeight="1" x14ac:dyDescent="0.15">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c r="AP429" s="45"/>
      <c r="AQ429" s="45"/>
    </row>
    <row r="430" spans="1:43" ht="15.75" customHeight="1" x14ac:dyDescent="0.15">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c r="AJ430" s="45"/>
      <c r="AK430" s="45"/>
      <c r="AL430" s="45"/>
      <c r="AM430" s="45"/>
      <c r="AN430" s="45"/>
      <c r="AO430" s="45"/>
      <c r="AP430" s="45"/>
      <c r="AQ430" s="45"/>
    </row>
    <row r="431" spans="1:43" ht="15.75" customHeight="1" x14ac:dyDescent="0.15">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c r="AP431" s="45"/>
      <c r="AQ431" s="45"/>
    </row>
    <row r="432" spans="1:43" ht="15.75" customHeight="1" x14ac:dyDescent="0.15">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c r="AP432" s="45"/>
      <c r="AQ432" s="45"/>
    </row>
    <row r="433" spans="1:43" ht="15.75" customHeight="1" x14ac:dyDescent="0.15">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c r="AP433" s="45"/>
      <c r="AQ433" s="45"/>
    </row>
    <row r="434" spans="1:43" ht="15.75" customHeight="1" x14ac:dyDescent="0.15">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c r="AP434" s="45"/>
      <c r="AQ434" s="45"/>
    </row>
    <row r="435" spans="1:43" ht="15.75" customHeight="1" x14ac:dyDescent="0.1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c r="AP435" s="45"/>
      <c r="AQ435" s="45"/>
    </row>
    <row r="436" spans="1:43" ht="15.75" customHeight="1" x14ac:dyDescent="0.15">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c r="AP436" s="45"/>
      <c r="AQ436" s="45"/>
    </row>
    <row r="437" spans="1:43" ht="15.75" customHeight="1" x14ac:dyDescent="0.15">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c r="AP437" s="45"/>
      <c r="AQ437" s="45"/>
    </row>
    <row r="438" spans="1:43" ht="15.75" customHeight="1" x14ac:dyDescent="0.15">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c r="AP438" s="45"/>
      <c r="AQ438" s="45"/>
    </row>
    <row r="439" spans="1:43" ht="15.75" customHeight="1" x14ac:dyDescent="0.15">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c r="AP439" s="45"/>
      <c r="AQ439" s="45"/>
    </row>
    <row r="440" spans="1:43" ht="15.75" customHeight="1" x14ac:dyDescent="0.15">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c r="AP440" s="45"/>
      <c r="AQ440" s="45"/>
    </row>
    <row r="441" spans="1:43" ht="15.75" customHeight="1" x14ac:dyDescent="0.15">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c r="AP441" s="45"/>
      <c r="AQ441" s="45"/>
    </row>
    <row r="442" spans="1:43" ht="15.75" customHeight="1" x14ac:dyDescent="0.15">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c r="AP442" s="45"/>
      <c r="AQ442" s="45"/>
    </row>
    <row r="443" spans="1:43" ht="15.75" customHeight="1" x14ac:dyDescent="0.15">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c r="AP443" s="45"/>
      <c r="AQ443" s="45"/>
    </row>
    <row r="444" spans="1:43" ht="15.75" customHeight="1" x14ac:dyDescent="0.15">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c r="AJ444" s="45"/>
      <c r="AK444" s="45"/>
      <c r="AL444" s="45"/>
      <c r="AM444" s="45"/>
      <c r="AN444" s="45"/>
      <c r="AO444" s="45"/>
      <c r="AP444" s="45"/>
      <c r="AQ444" s="45"/>
    </row>
    <row r="445" spans="1:43" ht="15.75" customHeight="1" x14ac:dyDescent="0.1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c r="AP445" s="45"/>
      <c r="AQ445" s="45"/>
    </row>
    <row r="446" spans="1:43" ht="15.75" customHeight="1" x14ac:dyDescent="0.15">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c r="AP446" s="45"/>
      <c r="AQ446" s="45"/>
    </row>
    <row r="447" spans="1:43" ht="15.75" customHeight="1" x14ac:dyDescent="0.15">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c r="AP447" s="45"/>
      <c r="AQ447" s="45"/>
    </row>
    <row r="448" spans="1:43" ht="15.75" customHeight="1" x14ac:dyDescent="0.15">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c r="AP448" s="45"/>
      <c r="AQ448" s="45"/>
    </row>
    <row r="449" spans="1:43" ht="15.75" customHeight="1" x14ac:dyDescent="0.15">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c r="AP449" s="45"/>
      <c r="AQ449" s="45"/>
    </row>
    <row r="450" spans="1:43" ht="15.75" customHeight="1" x14ac:dyDescent="0.15">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c r="AP450" s="45"/>
      <c r="AQ450" s="45"/>
    </row>
    <row r="451" spans="1:43" ht="15.75" customHeight="1" x14ac:dyDescent="0.15">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c r="AP451" s="45"/>
      <c r="AQ451" s="45"/>
    </row>
    <row r="452" spans="1:43" ht="15.75" customHeight="1" x14ac:dyDescent="0.15">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c r="AP452" s="45"/>
      <c r="AQ452" s="45"/>
    </row>
    <row r="453" spans="1:43" ht="15.75" customHeight="1" x14ac:dyDescent="0.15">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c r="AP453" s="45"/>
      <c r="AQ453" s="45"/>
    </row>
    <row r="454" spans="1:43" ht="15.75" customHeight="1" x14ac:dyDescent="0.15">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c r="AJ454" s="45"/>
      <c r="AK454" s="45"/>
      <c r="AL454" s="45"/>
      <c r="AM454" s="45"/>
      <c r="AN454" s="45"/>
      <c r="AO454" s="45"/>
      <c r="AP454" s="45"/>
      <c r="AQ454" s="45"/>
    </row>
    <row r="455" spans="1:43" ht="15.75" customHeight="1" x14ac:dyDescent="0.1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row>
    <row r="456" spans="1:43" ht="15.75" customHeight="1" x14ac:dyDescent="0.15">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c r="AP456" s="45"/>
      <c r="AQ456" s="45"/>
    </row>
    <row r="457" spans="1:43" ht="15.75" customHeight="1" x14ac:dyDescent="0.15">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c r="AP457" s="45"/>
      <c r="AQ457" s="45"/>
    </row>
    <row r="458" spans="1:43" ht="15.75" customHeight="1" x14ac:dyDescent="0.15">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c r="AP458" s="45"/>
      <c r="AQ458" s="45"/>
    </row>
    <row r="459" spans="1:43" ht="15.75" customHeight="1" x14ac:dyDescent="0.15">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c r="AP459" s="45"/>
      <c r="AQ459" s="45"/>
    </row>
    <row r="460" spans="1:43" ht="15.75" customHeight="1" x14ac:dyDescent="0.15">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c r="AP460" s="45"/>
      <c r="AQ460" s="45"/>
    </row>
    <row r="461" spans="1:43" ht="15.75" customHeight="1" x14ac:dyDescent="0.15">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c r="AP461" s="45"/>
      <c r="AQ461" s="45"/>
    </row>
    <row r="462" spans="1:43" ht="15.75" customHeight="1" x14ac:dyDescent="0.15">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c r="AP462" s="45"/>
      <c r="AQ462" s="45"/>
    </row>
    <row r="463" spans="1:43" ht="15.75" customHeight="1" x14ac:dyDescent="0.15">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c r="AP463" s="45"/>
      <c r="AQ463" s="45"/>
    </row>
    <row r="464" spans="1:43" ht="15.75" customHeight="1" x14ac:dyDescent="0.15">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c r="AP464" s="45"/>
      <c r="AQ464" s="45"/>
    </row>
    <row r="465" spans="1:43" ht="15.75" customHeight="1" x14ac:dyDescent="0.1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c r="AP465" s="45"/>
      <c r="AQ465" s="45"/>
    </row>
    <row r="466" spans="1:43" ht="15.75" customHeight="1" x14ac:dyDescent="0.15">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c r="AP466" s="45"/>
      <c r="AQ466" s="45"/>
    </row>
    <row r="467" spans="1:43" ht="15.75" customHeight="1" x14ac:dyDescent="0.15">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c r="AP467" s="45"/>
      <c r="AQ467" s="45"/>
    </row>
    <row r="468" spans="1:43" ht="15.75" customHeight="1" x14ac:dyDescent="0.15">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c r="AP468" s="45"/>
      <c r="AQ468" s="45"/>
    </row>
    <row r="469" spans="1:43" ht="15.75" customHeight="1" x14ac:dyDescent="0.15">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c r="AP469" s="45"/>
      <c r="AQ469" s="45"/>
    </row>
    <row r="470" spans="1:43" ht="15.75" customHeight="1" x14ac:dyDescent="0.15">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c r="AP470" s="45"/>
      <c r="AQ470" s="45"/>
    </row>
    <row r="471" spans="1:43" ht="15.75" customHeight="1" x14ac:dyDescent="0.15">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c r="AP471" s="45"/>
      <c r="AQ471" s="45"/>
    </row>
    <row r="472" spans="1:43" ht="15.75" customHeight="1" x14ac:dyDescent="0.15">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c r="AP472" s="45"/>
      <c r="AQ472" s="45"/>
    </row>
    <row r="473" spans="1:43" ht="15.75" customHeight="1" x14ac:dyDescent="0.15">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c r="AJ473" s="45"/>
      <c r="AK473" s="45"/>
      <c r="AL473" s="45"/>
      <c r="AM473" s="45"/>
      <c r="AN473" s="45"/>
      <c r="AO473" s="45"/>
      <c r="AP473" s="45"/>
      <c r="AQ473" s="45"/>
    </row>
    <row r="474" spans="1:43" ht="15.75" customHeight="1" x14ac:dyDescent="0.15">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c r="AP474" s="45"/>
      <c r="AQ474" s="45"/>
    </row>
    <row r="475" spans="1:43" ht="15.75" customHeight="1" x14ac:dyDescent="0.1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c r="AP475" s="45"/>
      <c r="AQ475" s="45"/>
    </row>
    <row r="476" spans="1:43" ht="15.75" customHeight="1" x14ac:dyDescent="0.15">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c r="AP476" s="45"/>
      <c r="AQ476" s="45"/>
    </row>
    <row r="477" spans="1:43" ht="15.75" customHeight="1" x14ac:dyDescent="0.15">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c r="AP477" s="45"/>
      <c r="AQ477" s="45"/>
    </row>
    <row r="478" spans="1:43" ht="15.75" customHeight="1" x14ac:dyDescent="0.15">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c r="AP478" s="45"/>
      <c r="AQ478" s="45"/>
    </row>
    <row r="479" spans="1:43" ht="15.75" customHeight="1" x14ac:dyDescent="0.15">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c r="AP479" s="45"/>
      <c r="AQ479" s="45"/>
    </row>
    <row r="480" spans="1:43" ht="15.75" customHeight="1" x14ac:dyDescent="0.15">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c r="AP480" s="45"/>
      <c r="AQ480" s="45"/>
    </row>
    <row r="481" spans="1:43" ht="15.75" customHeight="1" x14ac:dyDescent="0.15">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c r="AP481" s="45"/>
      <c r="AQ481" s="45"/>
    </row>
    <row r="482" spans="1:43" ht="15.75" customHeight="1" x14ac:dyDescent="0.15">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c r="AP482" s="45"/>
      <c r="AQ482" s="45"/>
    </row>
    <row r="483" spans="1:43" ht="15.75" customHeight="1" x14ac:dyDescent="0.15">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c r="AP483" s="45"/>
      <c r="AQ483" s="45"/>
    </row>
    <row r="484" spans="1:43" ht="15.75" customHeight="1" x14ac:dyDescent="0.15">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c r="AP484" s="45"/>
      <c r="AQ484" s="45"/>
    </row>
    <row r="485" spans="1:43" ht="15.75" customHeight="1" x14ac:dyDescent="0.1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c r="AP485" s="45"/>
      <c r="AQ485" s="45"/>
    </row>
    <row r="486" spans="1:43" ht="15.75" customHeight="1" x14ac:dyDescent="0.15">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c r="AP486" s="45"/>
      <c r="AQ486" s="45"/>
    </row>
    <row r="487" spans="1:43" ht="15.75" customHeight="1" x14ac:dyDescent="0.15">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c r="AP487" s="45"/>
      <c r="AQ487" s="45"/>
    </row>
    <row r="488" spans="1:43" ht="15.75" customHeight="1" x14ac:dyDescent="0.15">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c r="AP488" s="45"/>
      <c r="AQ488" s="45"/>
    </row>
    <row r="489" spans="1:43" ht="15.75" customHeight="1" x14ac:dyDescent="0.15">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c r="AP489" s="45"/>
      <c r="AQ489" s="45"/>
    </row>
    <row r="490" spans="1:43" ht="15.75" customHeight="1" x14ac:dyDescent="0.15">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c r="AP490" s="45"/>
      <c r="AQ490" s="45"/>
    </row>
    <row r="491" spans="1:43" ht="15.75" customHeight="1" x14ac:dyDescent="0.15">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c r="AP491" s="45"/>
      <c r="AQ491" s="45"/>
    </row>
    <row r="492" spans="1:43" ht="15.75" customHeight="1" x14ac:dyDescent="0.15">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c r="AJ492" s="45"/>
      <c r="AK492" s="45"/>
      <c r="AL492" s="45"/>
      <c r="AM492" s="45"/>
      <c r="AN492" s="45"/>
      <c r="AO492" s="45"/>
      <c r="AP492" s="45"/>
      <c r="AQ492" s="45"/>
    </row>
    <row r="493" spans="1:43" ht="15.75" customHeight="1" x14ac:dyDescent="0.15">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c r="AP493" s="45"/>
      <c r="AQ493" s="45"/>
    </row>
    <row r="494" spans="1:43" ht="15.75" customHeight="1" x14ac:dyDescent="0.15">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c r="AP494" s="45"/>
      <c r="AQ494" s="45"/>
    </row>
    <row r="495" spans="1:43" ht="15.75" customHeight="1" x14ac:dyDescent="0.1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c r="AP495" s="45"/>
      <c r="AQ495" s="45"/>
    </row>
    <row r="496" spans="1:43" ht="15.75" customHeight="1" x14ac:dyDescent="0.15">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c r="AP496" s="45"/>
      <c r="AQ496" s="45"/>
    </row>
    <row r="497" spans="1:43" ht="15.75" customHeight="1" x14ac:dyDescent="0.15">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c r="AP497" s="45"/>
      <c r="AQ497" s="45"/>
    </row>
    <row r="498" spans="1:43" ht="15.75" customHeight="1" x14ac:dyDescent="0.15">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c r="AP498" s="45"/>
      <c r="AQ498" s="45"/>
    </row>
    <row r="499" spans="1:43" ht="15.75" customHeight="1" x14ac:dyDescent="0.15">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c r="AP499" s="45"/>
      <c r="AQ499" s="45"/>
    </row>
    <row r="500" spans="1:43" ht="15.75" customHeight="1" x14ac:dyDescent="0.15">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c r="AP500" s="45"/>
      <c r="AQ500" s="45"/>
    </row>
    <row r="501" spans="1:43" ht="15.75" customHeight="1" x14ac:dyDescent="0.15">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c r="AP501" s="45"/>
      <c r="AQ501" s="45"/>
    </row>
    <row r="502" spans="1:43" ht="15.75" customHeight="1" x14ac:dyDescent="0.15">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c r="AP502" s="45"/>
      <c r="AQ502" s="45"/>
    </row>
    <row r="503" spans="1:43" ht="15.75" customHeight="1" x14ac:dyDescent="0.15">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c r="AP503" s="45"/>
      <c r="AQ503" s="45"/>
    </row>
    <row r="504" spans="1:43" ht="15.75" customHeight="1" x14ac:dyDescent="0.15">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c r="AP504" s="45"/>
      <c r="AQ504" s="45"/>
    </row>
    <row r="505" spans="1:43" ht="15.75" customHeight="1" x14ac:dyDescent="0.1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c r="AP505" s="45"/>
      <c r="AQ505" s="45"/>
    </row>
    <row r="506" spans="1:43" ht="15.75" customHeight="1" x14ac:dyDescent="0.15">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c r="AP506" s="45"/>
      <c r="AQ506" s="45"/>
    </row>
    <row r="507" spans="1:43" ht="15.75" customHeight="1" x14ac:dyDescent="0.15">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c r="AP507" s="45"/>
      <c r="AQ507" s="45"/>
    </row>
    <row r="508" spans="1:43" ht="15.75" customHeight="1" x14ac:dyDescent="0.15">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c r="AJ508" s="45"/>
      <c r="AK508" s="45"/>
      <c r="AL508" s="45"/>
      <c r="AM508" s="45"/>
      <c r="AN508" s="45"/>
      <c r="AO508" s="45"/>
      <c r="AP508" s="45"/>
      <c r="AQ508" s="45"/>
    </row>
    <row r="509" spans="1:43" ht="15.75" customHeight="1" x14ac:dyDescent="0.15">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c r="AJ509" s="45"/>
      <c r="AK509" s="45"/>
      <c r="AL509" s="45"/>
      <c r="AM509" s="45"/>
      <c r="AN509" s="45"/>
      <c r="AO509" s="45"/>
      <c r="AP509" s="45"/>
      <c r="AQ509" s="45"/>
    </row>
    <row r="510" spans="1:43" ht="15.75" customHeight="1" x14ac:dyDescent="0.15">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c r="AJ510" s="45"/>
      <c r="AK510" s="45"/>
      <c r="AL510" s="45"/>
      <c r="AM510" s="45"/>
      <c r="AN510" s="45"/>
      <c r="AO510" s="45"/>
      <c r="AP510" s="45"/>
      <c r="AQ510" s="45"/>
    </row>
    <row r="511" spans="1:43" ht="15.75" customHeight="1" x14ac:dyDescent="0.15">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c r="AJ511" s="45"/>
      <c r="AK511" s="45"/>
      <c r="AL511" s="45"/>
      <c r="AM511" s="45"/>
      <c r="AN511" s="45"/>
      <c r="AO511" s="45"/>
      <c r="AP511" s="45"/>
      <c r="AQ511" s="45"/>
    </row>
    <row r="512" spans="1:43" ht="15.75" customHeight="1" x14ac:dyDescent="0.15">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c r="AP512" s="45"/>
      <c r="AQ512" s="45"/>
    </row>
    <row r="513" spans="1:43" ht="15.75" customHeight="1" x14ac:dyDescent="0.15">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c r="AJ513" s="45"/>
      <c r="AK513" s="45"/>
      <c r="AL513" s="45"/>
      <c r="AM513" s="45"/>
      <c r="AN513" s="45"/>
      <c r="AO513" s="45"/>
      <c r="AP513" s="45"/>
      <c r="AQ513" s="45"/>
    </row>
    <row r="514" spans="1:43" ht="15.75" customHeight="1" x14ac:dyDescent="0.15">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c r="AJ514" s="45"/>
      <c r="AK514" s="45"/>
      <c r="AL514" s="45"/>
      <c r="AM514" s="45"/>
      <c r="AN514" s="45"/>
      <c r="AO514" s="45"/>
      <c r="AP514" s="45"/>
      <c r="AQ514" s="45"/>
    </row>
    <row r="515" spans="1:43" ht="15.75" customHeight="1" x14ac:dyDescent="0.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c r="AJ515" s="45"/>
      <c r="AK515" s="45"/>
      <c r="AL515" s="45"/>
      <c r="AM515" s="45"/>
      <c r="AN515" s="45"/>
      <c r="AO515" s="45"/>
      <c r="AP515" s="45"/>
      <c r="AQ515" s="45"/>
    </row>
    <row r="516" spans="1:43" ht="15.75" customHeight="1" x14ac:dyDescent="0.15">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c r="AP516" s="45"/>
      <c r="AQ516" s="45"/>
    </row>
    <row r="517" spans="1:43" ht="15.75" customHeight="1" x14ac:dyDescent="0.15">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c r="AP517" s="45"/>
      <c r="AQ517" s="45"/>
    </row>
    <row r="518" spans="1:43" ht="15.75" customHeight="1" x14ac:dyDescent="0.15">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c r="AJ518" s="45"/>
      <c r="AK518" s="45"/>
      <c r="AL518" s="45"/>
      <c r="AM518" s="45"/>
      <c r="AN518" s="45"/>
      <c r="AO518" s="45"/>
      <c r="AP518" s="45"/>
      <c r="AQ518" s="45"/>
    </row>
    <row r="519" spans="1:43" ht="15.75" customHeight="1" x14ac:dyDescent="0.15">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c r="AJ519" s="45"/>
      <c r="AK519" s="45"/>
      <c r="AL519" s="45"/>
      <c r="AM519" s="45"/>
      <c r="AN519" s="45"/>
      <c r="AO519" s="45"/>
      <c r="AP519" s="45"/>
      <c r="AQ519" s="45"/>
    </row>
    <row r="520" spans="1:43" ht="15.75" customHeight="1" x14ac:dyDescent="0.15">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c r="AJ520" s="45"/>
      <c r="AK520" s="45"/>
      <c r="AL520" s="45"/>
      <c r="AM520" s="45"/>
      <c r="AN520" s="45"/>
      <c r="AO520" s="45"/>
      <c r="AP520" s="45"/>
      <c r="AQ520" s="45"/>
    </row>
    <row r="521" spans="1:43" ht="15.75" customHeight="1" x14ac:dyDescent="0.15">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c r="AP521" s="45"/>
      <c r="AQ521" s="45"/>
    </row>
    <row r="522" spans="1:43" ht="15.75" customHeight="1" x14ac:dyDescent="0.15">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c r="AJ522" s="45"/>
      <c r="AK522" s="45"/>
      <c r="AL522" s="45"/>
      <c r="AM522" s="45"/>
      <c r="AN522" s="45"/>
      <c r="AO522" s="45"/>
      <c r="AP522" s="45"/>
      <c r="AQ522" s="45"/>
    </row>
    <row r="523" spans="1:43" ht="15.75" customHeight="1" x14ac:dyDescent="0.15">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c r="AJ523" s="45"/>
      <c r="AK523" s="45"/>
      <c r="AL523" s="45"/>
      <c r="AM523" s="45"/>
      <c r="AN523" s="45"/>
      <c r="AO523" s="45"/>
      <c r="AP523" s="45"/>
      <c r="AQ523" s="45"/>
    </row>
    <row r="524" spans="1:43" ht="15.75" customHeight="1" x14ac:dyDescent="0.15">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row>
    <row r="525" spans="1:43" ht="15.75" customHeight="1" x14ac:dyDescent="0.1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row>
    <row r="526" spans="1:43" ht="15.75" customHeight="1" x14ac:dyDescent="0.15">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c r="AJ526" s="45"/>
      <c r="AK526" s="45"/>
      <c r="AL526" s="45"/>
      <c r="AM526" s="45"/>
      <c r="AN526" s="45"/>
      <c r="AO526" s="45"/>
      <c r="AP526" s="45"/>
      <c r="AQ526" s="45"/>
    </row>
    <row r="527" spans="1:43" ht="15.75" customHeight="1" x14ac:dyDescent="0.15">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c r="AJ527" s="45"/>
      <c r="AK527" s="45"/>
      <c r="AL527" s="45"/>
      <c r="AM527" s="45"/>
      <c r="AN527" s="45"/>
      <c r="AO527" s="45"/>
      <c r="AP527" s="45"/>
      <c r="AQ527" s="45"/>
    </row>
    <row r="528" spans="1:43" ht="15.75" customHeight="1" x14ac:dyDescent="0.15">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c r="AJ528" s="45"/>
      <c r="AK528" s="45"/>
      <c r="AL528" s="45"/>
      <c r="AM528" s="45"/>
      <c r="AN528" s="45"/>
      <c r="AO528" s="45"/>
      <c r="AP528" s="45"/>
      <c r="AQ528" s="45"/>
    </row>
    <row r="529" spans="1:43" ht="15.75" customHeight="1" x14ac:dyDescent="0.15">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c r="AJ529" s="45"/>
      <c r="AK529" s="45"/>
      <c r="AL529" s="45"/>
      <c r="AM529" s="45"/>
      <c r="AN529" s="45"/>
      <c r="AO529" s="45"/>
      <c r="AP529" s="45"/>
      <c r="AQ529" s="45"/>
    </row>
    <row r="530" spans="1:43" ht="15.75" customHeight="1" x14ac:dyDescent="0.15">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c r="AJ530" s="45"/>
      <c r="AK530" s="45"/>
      <c r="AL530" s="45"/>
      <c r="AM530" s="45"/>
      <c r="AN530" s="45"/>
      <c r="AO530" s="45"/>
      <c r="AP530" s="45"/>
      <c r="AQ530" s="45"/>
    </row>
    <row r="531" spans="1:43" ht="15.75" customHeight="1" x14ac:dyDescent="0.15">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c r="AJ531" s="45"/>
      <c r="AK531" s="45"/>
      <c r="AL531" s="45"/>
      <c r="AM531" s="45"/>
      <c r="AN531" s="45"/>
      <c r="AO531" s="45"/>
      <c r="AP531" s="45"/>
      <c r="AQ531" s="45"/>
    </row>
    <row r="532" spans="1:43" ht="15.75" customHeight="1" x14ac:dyDescent="0.15">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c r="AJ532" s="45"/>
      <c r="AK532" s="45"/>
      <c r="AL532" s="45"/>
      <c r="AM532" s="45"/>
      <c r="AN532" s="45"/>
      <c r="AO532" s="45"/>
      <c r="AP532" s="45"/>
      <c r="AQ532" s="45"/>
    </row>
    <row r="533" spans="1:43" ht="15.75" customHeight="1" x14ac:dyDescent="0.15">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c r="AJ533" s="45"/>
      <c r="AK533" s="45"/>
      <c r="AL533" s="45"/>
      <c r="AM533" s="45"/>
      <c r="AN533" s="45"/>
      <c r="AO533" s="45"/>
      <c r="AP533" s="45"/>
      <c r="AQ533" s="45"/>
    </row>
    <row r="534" spans="1:43" ht="15.75" customHeight="1" x14ac:dyDescent="0.15">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c r="AP534" s="45"/>
      <c r="AQ534" s="45"/>
    </row>
    <row r="535" spans="1:43" ht="15.75" customHeight="1" x14ac:dyDescent="0.1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c r="AP535" s="45"/>
      <c r="AQ535" s="45"/>
    </row>
    <row r="536" spans="1:43" ht="15.75" customHeight="1" x14ac:dyDescent="0.15">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c r="AP536" s="45"/>
      <c r="AQ536" s="45"/>
    </row>
    <row r="537" spans="1:43" ht="15.75" customHeight="1" x14ac:dyDescent="0.15">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row>
    <row r="538" spans="1:43" ht="15.75" customHeight="1" x14ac:dyDescent="0.15">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row>
    <row r="539" spans="1:43" ht="15.75" customHeight="1" x14ac:dyDescent="0.15">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row>
    <row r="540" spans="1:43" ht="15.75" customHeight="1" x14ac:dyDescent="0.15">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c r="AP540" s="45"/>
      <c r="AQ540" s="45"/>
    </row>
    <row r="541" spans="1:43" ht="15.75" customHeight="1" x14ac:dyDescent="0.15">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c r="AP541" s="45"/>
      <c r="AQ541" s="45"/>
    </row>
    <row r="542" spans="1:43" ht="15.75" customHeight="1" x14ac:dyDescent="0.15">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row>
    <row r="543" spans="1:43" ht="15.75" customHeight="1" x14ac:dyDescent="0.15">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c r="AP543" s="45"/>
      <c r="AQ543" s="45"/>
    </row>
    <row r="544" spans="1:43" ht="15.75" customHeight="1" x14ac:dyDescent="0.15">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c r="AP544" s="45"/>
      <c r="AQ544" s="45"/>
    </row>
    <row r="545" spans="1:43" ht="15.75" customHeight="1" x14ac:dyDescent="0.1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c r="AP545" s="45"/>
      <c r="AQ545" s="45"/>
    </row>
    <row r="546" spans="1:43" ht="15.75" customHeight="1" x14ac:dyDescent="0.15">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c r="AP546" s="45"/>
      <c r="AQ546" s="45"/>
    </row>
    <row r="547" spans="1:43" ht="15.75" customHeight="1" x14ac:dyDescent="0.15">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c r="AP547" s="45"/>
      <c r="AQ547" s="45"/>
    </row>
    <row r="548" spans="1:43" ht="15.75" customHeight="1" x14ac:dyDescent="0.15">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c r="AP548" s="45"/>
      <c r="AQ548" s="45"/>
    </row>
    <row r="549" spans="1:43" ht="15.75" customHeight="1" x14ac:dyDescent="0.15">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c r="AP549" s="45"/>
      <c r="AQ549" s="45"/>
    </row>
    <row r="550" spans="1:43" ht="15.75" customHeight="1" x14ac:dyDescent="0.15">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row>
    <row r="551" spans="1:43" ht="15.75" customHeight="1" x14ac:dyDescent="0.15">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c r="AP551" s="45"/>
      <c r="AQ551" s="45"/>
    </row>
    <row r="552" spans="1:43" ht="15.75" customHeight="1" x14ac:dyDescent="0.15">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c r="AP552" s="45"/>
      <c r="AQ552" s="45"/>
    </row>
    <row r="553" spans="1:43" ht="15.75" customHeight="1" x14ac:dyDescent="0.15">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row>
    <row r="554" spans="1:43" ht="15.75" customHeight="1" x14ac:dyDescent="0.15">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row>
    <row r="555" spans="1:43" ht="15.75" customHeight="1" x14ac:dyDescent="0.1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row>
    <row r="556" spans="1:43" ht="15.75" customHeight="1" x14ac:dyDescent="0.15">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row>
    <row r="557" spans="1:43" ht="15.75" customHeight="1" x14ac:dyDescent="0.15">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row>
    <row r="558" spans="1:43" ht="15.75" customHeight="1" x14ac:dyDescent="0.15">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row>
    <row r="559" spans="1:43" ht="15.75" customHeight="1" x14ac:dyDescent="0.15">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row>
    <row r="560" spans="1:43" ht="15.75" customHeight="1" x14ac:dyDescent="0.15">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c r="AP560" s="45"/>
      <c r="AQ560" s="45"/>
    </row>
    <row r="561" spans="1:43" ht="15.75" customHeight="1" x14ac:dyDescent="0.15">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c r="AP561" s="45"/>
      <c r="AQ561" s="45"/>
    </row>
    <row r="562" spans="1:43" ht="15.75" customHeight="1" x14ac:dyDescent="0.15">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c r="AP562" s="45"/>
      <c r="AQ562" s="45"/>
    </row>
    <row r="563" spans="1:43" ht="15.75" customHeight="1" x14ac:dyDescent="0.15">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c r="AP563" s="45"/>
      <c r="AQ563" s="45"/>
    </row>
    <row r="564" spans="1:43" ht="15.75" customHeight="1" x14ac:dyDescent="0.15">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c r="AP564" s="45"/>
      <c r="AQ564" s="45"/>
    </row>
    <row r="565" spans="1:43" ht="15.75" customHeight="1" x14ac:dyDescent="0.1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c r="AP565" s="45"/>
      <c r="AQ565" s="45"/>
    </row>
    <row r="566" spans="1:43" ht="15.75" customHeight="1" x14ac:dyDescent="0.15">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c r="AJ566" s="45"/>
      <c r="AK566" s="45"/>
      <c r="AL566" s="45"/>
      <c r="AM566" s="45"/>
      <c r="AN566" s="45"/>
      <c r="AO566" s="45"/>
      <c r="AP566" s="45"/>
      <c r="AQ566" s="45"/>
    </row>
    <row r="567" spans="1:43" ht="15.75" customHeight="1" x14ac:dyDescent="0.15">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c r="AP567" s="45"/>
      <c r="AQ567" s="45"/>
    </row>
    <row r="568" spans="1:43" ht="15.75" customHeight="1" x14ac:dyDescent="0.15">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c r="AJ568" s="45"/>
      <c r="AK568" s="45"/>
      <c r="AL568" s="45"/>
      <c r="AM568" s="45"/>
      <c r="AN568" s="45"/>
      <c r="AO568" s="45"/>
      <c r="AP568" s="45"/>
      <c r="AQ568" s="45"/>
    </row>
    <row r="569" spans="1:43" ht="15.75" customHeight="1" x14ac:dyDescent="0.15">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c r="AJ569" s="45"/>
      <c r="AK569" s="45"/>
      <c r="AL569" s="45"/>
      <c r="AM569" s="45"/>
      <c r="AN569" s="45"/>
      <c r="AO569" s="45"/>
      <c r="AP569" s="45"/>
      <c r="AQ569" s="45"/>
    </row>
    <row r="570" spans="1:43" ht="15.75" customHeight="1" x14ac:dyDescent="0.15">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c r="AJ570" s="45"/>
      <c r="AK570" s="45"/>
      <c r="AL570" s="45"/>
      <c r="AM570" s="45"/>
      <c r="AN570" s="45"/>
      <c r="AO570" s="45"/>
      <c r="AP570" s="45"/>
      <c r="AQ570" s="45"/>
    </row>
    <row r="571" spans="1:43" ht="15.75" customHeight="1" x14ac:dyDescent="0.15">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c r="AJ571" s="45"/>
      <c r="AK571" s="45"/>
      <c r="AL571" s="45"/>
      <c r="AM571" s="45"/>
      <c r="AN571" s="45"/>
      <c r="AO571" s="45"/>
      <c r="AP571" s="45"/>
      <c r="AQ571" s="45"/>
    </row>
    <row r="572" spans="1:43" ht="15.75" customHeight="1" x14ac:dyDescent="0.15">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c r="AJ572" s="45"/>
      <c r="AK572" s="45"/>
      <c r="AL572" s="45"/>
      <c r="AM572" s="45"/>
      <c r="AN572" s="45"/>
      <c r="AO572" s="45"/>
      <c r="AP572" s="45"/>
      <c r="AQ572" s="45"/>
    </row>
    <row r="573" spans="1:43" ht="15.75" customHeight="1" x14ac:dyDescent="0.15">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c r="AJ573" s="45"/>
      <c r="AK573" s="45"/>
      <c r="AL573" s="45"/>
      <c r="AM573" s="45"/>
      <c r="AN573" s="45"/>
      <c r="AO573" s="45"/>
      <c r="AP573" s="45"/>
      <c r="AQ573" s="45"/>
    </row>
    <row r="574" spans="1:43" ht="15.75" customHeight="1" x14ac:dyDescent="0.15">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c r="AJ574" s="45"/>
      <c r="AK574" s="45"/>
      <c r="AL574" s="45"/>
      <c r="AM574" s="45"/>
      <c r="AN574" s="45"/>
      <c r="AO574" s="45"/>
      <c r="AP574" s="45"/>
      <c r="AQ574" s="45"/>
    </row>
    <row r="575" spans="1:43" ht="15.75" customHeight="1" x14ac:dyDescent="0.1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row>
    <row r="576" spans="1:43" ht="15.75" customHeight="1" x14ac:dyDescent="0.15">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c r="AJ576" s="45"/>
      <c r="AK576" s="45"/>
      <c r="AL576" s="45"/>
      <c r="AM576" s="45"/>
      <c r="AN576" s="45"/>
      <c r="AO576" s="45"/>
      <c r="AP576" s="45"/>
      <c r="AQ576" s="45"/>
    </row>
    <row r="577" spans="1:43" ht="15.75" customHeight="1" x14ac:dyDescent="0.15">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c r="AJ577" s="45"/>
      <c r="AK577" s="45"/>
      <c r="AL577" s="45"/>
      <c r="AM577" s="45"/>
      <c r="AN577" s="45"/>
      <c r="AO577" s="45"/>
      <c r="AP577" s="45"/>
      <c r="AQ577" s="45"/>
    </row>
    <row r="578" spans="1:43" ht="15.75" customHeight="1" x14ac:dyDescent="0.15">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c r="AJ578" s="45"/>
      <c r="AK578" s="45"/>
      <c r="AL578" s="45"/>
      <c r="AM578" s="45"/>
      <c r="AN578" s="45"/>
      <c r="AO578" s="45"/>
      <c r="AP578" s="45"/>
      <c r="AQ578" s="45"/>
    </row>
    <row r="579" spans="1:43" ht="15.75" customHeight="1" x14ac:dyDescent="0.15">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c r="AP579" s="45"/>
      <c r="AQ579" s="45"/>
    </row>
    <row r="580" spans="1:43" ht="15.75" customHeight="1" x14ac:dyDescent="0.15">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c r="AP580" s="45"/>
      <c r="AQ580" s="45"/>
    </row>
    <row r="581" spans="1:43" ht="15.75" customHeight="1" x14ac:dyDescent="0.15">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c r="AJ581" s="45"/>
      <c r="AK581" s="45"/>
      <c r="AL581" s="45"/>
      <c r="AM581" s="45"/>
      <c r="AN581" s="45"/>
      <c r="AO581" s="45"/>
      <c r="AP581" s="45"/>
      <c r="AQ581" s="45"/>
    </row>
    <row r="582" spans="1:43" ht="15.75" customHeight="1" x14ac:dyDescent="0.15">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O582" s="45"/>
      <c r="AP582" s="45"/>
      <c r="AQ582" s="45"/>
    </row>
    <row r="583" spans="1:43" ht="15.75" customHeight="1" x14ac:dyDescent="0.15">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c r="AJ583" s="45"/>
      <c r="AK583" s="45"/>
      <c r="AL583" s="45"/>
      <c r="AM583" s="45"/>
      <c r="AN583" s="45"/>
      <c r="AO583" s="45"/>
      <c r="AP583" s="45"/>
      <c r="AQ583" s="45"/>
    </row>
    <row r="584" spans="1:43" ht="15.75" customHeight="1" x14ac:dyDescent="0.15">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O584" s="45"/>
      <c r="AP584" s="45"/>
      <c r="AQ584" s="45"/>
    </row>
    <row r="585" spans="1:43" ht="15.75" customHeight="1" x14ac:dyDescent="0.1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c r="AJ585" s="45"/>
      <c r="AK585" s="45"/>
      <c r="AL585" s="45"/>
      <c r="AM585" s="45"/>
      <c r="AN585" s="45"/>
      <c r="AO585" s="45"/>
      <c r="AP585" s="45"/>
      <c r="AQ585" s="45"/>
    </row>
    <row r="586" spans="1:43" ht="15.75" customHeight="1" x14ac:dyDescent="0.15">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O586" s="45"/>
      <c r="AP586" s="45"/>
      <c r="AQ586" s="45"/>
    </row>
    <row r="587" spans="1:43" ht="15.75" customHeight="1" x14ac:dyDescent="0.15">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c r="AJ587" s="45"/>
      <c r="AK587" s="45"/>
      <c r="AL587" s="45"/>
      <c r="AM587" s="45"/>
      <c r="AN587" s="45"/>
      <c r="AO587" s="45"/>
      <c r="AP587" s="45"/>
      <c r="AQ587" s="45"/>
    </row>
    <row r="588" spans="1:43" ht="15.75" customHeight="1" x14ac:dyDescent="0.15">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O588" s="45"/>
      <c r="AP588" s="45"/>
      <c r="AQ588" s="45"/>
    </row>
    <row r="589" spans="1:43" ht="15.75" customHeight="1" x14ac:dyDescent="0.15">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c r="AJ589" s="45"/>
      <c r="AK589" s="45"/>
      <c r="AL589" s="45"/>
      <c r="AM589" s="45"/>
      <c r="AN589" s="45"/>
      <c r="AO589" s="45"/>
      <c r="AP589" s="45"/>
      <c r="AQ589" s="45"/>
    </row>
    <row r="590" spans="1:43" ht="15.75" customHeight="1" x14ac:dyDescent="0.15">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O590" s="45"/>
      <c r="AP590" s="45"/>
      <c r="AQ590" s="45"/>
    </row>
    <row r="591" spans="1:43" ht="15.75" customHeight="1" x14ac:dyDescent="0.15">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c r="AJ591" s="45"/>
      <c r="AK591" s="45"/>
      <c r="AL591" s="45"/>
      <c r="AM591" s="45"/>
      <c r="AN591" s="45"/>
      <c r="AO591" s="45"/>
      <c r="AP591" s="45"/>
      <c r="AQ591" s="45"/>
    </row>
    <row r="592" spans="1:43" ht="15.75" customHeight="1" x14ac:dyDescent="0.15">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O592" s="45"/>
      <c r="AP592" s="45"/>
      <c r="AQ592" s="45"/>
    </row>
    <row r="593" spans="1:43" ht="15.75" customHeight="1" x14ac:dyDescent="0.15">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c r="AJ593" s="45"/>
      <c r="AK593" s="45"/>
      <c r="AL593" s="45"/>
      <c r="AM593" s="45"/>
      <c r="AN593" s="45"/>
      <c r="AO593" s="45"/>
      <c r="AP593" s="45"/>
      <c r="AQ593" s="45"/>
    </row>
    <row r="594" spans="1:43" ht="15.75" customHeight="1" x14ac:dyDescent="0.15">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c r="AJ594" s="45"/>
      <c r="AK594" s="45"/>
      <c r="AL594" s="45"/>
      <c r="AM594" s="45"/>
      <c r="AN594" s="45"/>
      <c r="AO594" s="45"/>
      <c r="AP594" s="45"/>
      <c r="AQ594" s="45"/>
    </row>
    <row r="595" spans="1:43" ht="15.75" customHeight="1" x14ac:dyDescent="0.1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c r="AJ595" s="45"/>
      <c r="AK595" s="45"/>
      <c r="AL595" s="45"/>
      <c r="AM595" s="45"/>
      <c r="AN595" s="45"/>
      <c r="AO595" s="45"/>
      <c r="AP595" s="45"/>
      <c r="AQ595" s="45"/>
    </row>
    <row r="596" spans="1:43" ht="15.75" customHeight="1" x14ac:dyDescent="0.15">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c r="AJ596" s="45"/>
      <c r="AK596" s="45"/>
      <c r="AL596" s="45"/>
      <c r="AM596" s="45"/>
      <c r="AN596" s="45"/>
      <c r="AO596" s="45"/>
      <c r="AP596" s="45"/>
      <c r="AQ596" s="45"/>
    </row>
    <row r="597" spans="1:43" ht="15.75" customHeight="1" x14ac:dyDescent="0.15">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c r="AJ597" s="45"/>
      <c r="AK597" s="45"/>
      <c r="AL597" s="45"/>
      <c r="AM597" s="45"/>
      <c r="AN597" s="45"/>
      <c r="AO597" s="45"/>
      <c r="AP597" s="45"/>
      <c r="AQ597" s="45"/>
    </row>
    <row r="598" spans="1:43" ht="15.75" customHeight="1" x14ac:dyDescent="0.15">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c r="AJ598" s="45"/>
      <c r="AK598" s="45"/>
      <c r="AL598" s="45"/>
      <c r="AM598" s="45"/>
      <c r="AN598" s="45"/>
      <c r="AO598" s="45"/>
      <c r="AP598" s="45"/>
      <c r="AQ598" s="45"/>
    </row>
    <row r="599" spans="1:43" ht="15.75" customHeight="1" x14ac:dyDescent="0.15">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c r="AJ599" s="45"/>
      <c r="AK599" s="45"/>
      <c r="AL599" s="45"/>
      <c r="AM599" s="45"/>
      <c r="AN599" s="45"/>
      <c r="AO599" s="45"/>
      <c r="AP599" s="45"/>
      <c r="AQ599" s="45"/>
    </row>
    <row r="600" spans="1:43" ht="15.75" customHeight="1" x14ac:dyDescent="0.15">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c r="AJ600" s="45"/>
      <c r="AK600" s="45"/>
      <c r="AL600" s="45"/>
      <c r="AM600" s="45"/>
      <c r="AN600" s="45"/>
      <c r="AO600" s="45"/>
      <c r="AP600" s="45"/>
      <c r="AQ600" s="45"/>
    </row>
    <row r="601" spans="1:43" ht="15.75" customHeight="1" x14ac:dyDescent="0.15">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c r="AJ601" s="45"/>
      <c r="AK601" s="45"/>
      <c r="AL601" s="45"/>
      <c r="AM601" s="45"/>
      <c r="AN601" s="45"/>
      <c r="AO601" s="45"/>
      <c r="AP601" s="45"/>
      <c r="AQ601" s="45"/>
    </row>
    <row r="602" spans="1:43" ht="15.75" customHeight="1" x14ac:dyDescent="0.15">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c r="AJ602" s="45"/>
      <c r="AK602" s="45"/>
      <c r="AL602" s="45"/>
      <c r="AM602" s="45"/>
      <c r="AN602" s="45"/>
      <c r="AO602" s="45"/>
      <c r="AP602" s="45"/>
      <c r="AQ602" s="45"/>
    </row>
    <row r="603" spans="1:43" ht="15.75" customHeight="1" x14ac:dyDescent="0.15">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c r="AP603" s="45"/>
      <c r="AQ603" s="45"/>
    </row>
    <row r="604" spans="1:43" ht="15.75" customHeight="1" x14ac:dyDescent="0.15">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c r="AJ604" s="45"/>
      <c r="AK604" s="45"/>
      <c r="AL604" s="45"/>
      <c r="AM604" s="45"/>
      <c r="AN604" s="45"/>
      <c r="AO604" s="45"/>
      <c r="AP604" s="45"/>
      <c r="AQ604" s="45"/>
    </row>
    <row r="605" spans="1:43" ht="15.75" customHeight="1" x14ac:dyDescent="0.1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c r="AJ605" s="45"/>
      <c r="AK605" s="45"/>
      <c r="AL605" s="45"/>
      <c r="AM605" s="45"/>
      <c r="AN605" s="45"/>
      <c r="AO605" s="45"/>
      <c r="AP605" s="45"/>
      <c r="AQ605" s="45"/>
    </row>
    <row r="606" spans="1:43" ht="15.75" customHeight="1" x14ac:dyDescent="0.15">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c r="AJ606" s="45"/>
      <c r="AK606" s="45"/>
      <c r="AL606" s="45"/>
      <c r="AM606" s="45"/>
      <c r="AN606" s="45"/>
      <c r="AO606" s="45"/>
      <c r="AP606" s="45"/>
      <c r="AQ606" s="45"/>
    </row>
    <row r="607" spans="1:43" ht="15.75" customHeight="1" x14ac:dyDescent="0.15">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c r="AJ607" s="45"/>
      <c r="AK607" s="45"/>
      <c r="AL607" s="45"/>
      <c r="AM607" s="45"/>
      <c r="AN607" s="45"/>
      <c r="AO607" s="45"/>
      <c r="AP607" s="45"/>
      <c r="AQ607" s="45"/>
    </row>
    <row r="608" spans="1:43" ht="15.75" customHeight="1" x14ac:dyDescent="0.15">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c r="AJ608" s="45"/>
      <c r="AK608" s="45"/>
      <c r="AL608" s="45"/>
      <c r="AM608" s="45"/>
      <c r="AN608" s="45"/>
      <c r="AO608" s="45"/>
      <c r="AP608" s="45"/>
      <c r="AQ608" s="45"/>
    </row>
    <row r="609" spans="1:43" ht="15.75" customHeight="1" x14ac:dyDescent="0.15">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c r="AJ609" s="45"/>
      <c r="AK609" s="45"/>
      <c r="AL609" s="45"/>
      <c r="AM609" s="45"/>
      <c r="AN609" s="45"/>
      <c r="AO609" s="45"/>
      <c r="AP609" s="45"/>
      <c r="AQ609" s="45"/>
    </row>
    <row r="610" spans="1:43" ht="15.75" customHeight="1" x14ac:dyDescent="0.15">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c r="AJ610" s="45"/>
      <c r="AK610" s="45"/>
      <c r="AL610" s="45"/>
      <c r="AM610" s="45"/>
      <c r="AN610" s="45"/>
      <c r="AO610" s="45"/>
      <c r="AP610" s="45"/>
      <c r="AQ610" s="45"/>
    </row>
    <row r="611" spans="1:43" ht="15.75" customHeight="1" x14ac:dyDescent="0.15">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c r="AJ611" s="45"/>
      <c r="AK611" s="45"/>
      <c r="AL611" s="45"/>
      <c r="AM611" s="45"/>
      <c r="AN611" s="45"/>
      <c r="AO611" s="45"/>
      <c r="AP611" s="45"/>
      <c r="AQ611" s="45"/>
    </row>
    <row r="612" spans="1:43" ht="15.75" customHeight="1" x14ac:dyDescent="0.15">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c r="AJ612" s="45"/>
      <c r="AK612" s="45"/>
      <c r="AL612" s="45"/>
      <c r="AM612" s="45"/>
      <c r="AN612" s="45"/>
      <c r="AO612" s="45"/>
      <c r="AP612" s="45"/>
      <c r="AQ612" s="45"/>
    </row>
    <row r="613" spans="1:43" ht="15.75" customHeight="1" x14ac:dyDescent="0.15">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c r="AJ613" s="45"/>
      <c r="AK613" s="45"/>
      <c r="AL613" s="45"/>
      <c r="AM613" s="45"/>
      <c r="AN613" s="45"/>
      <c r="AO613" s="45"/>
      <c r="AP613" s="45"/>
      <c r="AQ613" s="45"/>
    </row>
    <row r="614" spans="1:43" ht="15.75" customHeight="1" x14ac:dyDescent="0.15">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c r="AJ614" s="45"/>
      <c r="AK614" s="45"/>
      <c r="AL614" s="45"/>
      <c r="AM614" s="45"/>
      <c r="AN614" s="45"/>
      <c r="AO614" s="45"/>
      <c r="AP614" s="45"/>
      <c r="AQ614" s="45"/>
    </row>
    <row r="615" spans="1:43" ht="15.75" customHeight="1" x14ac:dyDescent="0.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c r="AJ615" s="45"/>
      <c r="AK615" s="45"/>
      <c r="AL615" s="45"/>
      <c r="AM615" s="45"/>
      <c r="AN615" s="45"/>
      <c r="AO615" s="45"/>
      <c r="AP615" s="45"/>
      <c r="AQ615" s="45"/>
    </row>
    <row r="616" spans="1:43" ht="15.75" customHeight="1" x14ac:dyDescent="0.15">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c r="AJ616" s="45"/>
      <c r="AK616" s="45"/>
      <c r="AL616" s="45"/>
      <c r="AM616" s="45"/>
      <c r="AN616" s="45"/>
      <c r="AO616" s="45"/>
      <c r="AP616" s="45"/>
      <c r="AQ616" s="45"/>
    </row>
    <row r="617" spans="1:43" ht="15.75" customHeight="1" x14ac:dyDescent="0.15">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c r="AJ617" s="45"/>
      <c r="AK617" s="45"/>
      <c r="AL617" s="45"/>
      <c r="AM617" s="45"/>
      <c r="AN617" s="45"/>
      <c r="AO617" s="45"/>
      <c r="AP617" s="45"/>
      <c r="AQ617" s="45"/>
    </row>
    <row r="618" spans="1:43" ht="15.75" customHeight="1" x14ac:dyDescent="0.15">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c r="AJ618" s="45"/>
      <c r="AK618" s="45"/>
      <c r="AL618" s="45"/>
      <c r="AM618" s="45"/>
      <c r="AN618" s="45"/>
      <c r="AO618" s="45"/>
      <c r="AP618" s="45"/>
      <c r="AQ618" s="45"/>
    </row>
    <row r="619" spans="1:43" ht="15.75" customHeight="1" x14ac:dyDescent="0.15">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c r="AJ619" s="45"/>
      <c r="AK619" s="45"/>
      <c r="AL619" s="45"/>
      <c r="AM619" s="45"/>
      <c r="AN619" s="45"/>
      <c r="AO619" s="45"/>
      <c r="AP619" s="45"/>
      <c r="AQ619" s="45"/>
    </row>
    <row r="620" spans="1:43" ht="15.75" customHeight="1" x14ac:dyDescent="0.15">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c r="AJ620" s="45"/>
      <c r="AK620" s="45"/>
      <c r="AL620" s="45"/>
      <c r="AM620" s="45"/>
      <c r="AN620" s="45"/>
      <c r="AO620" s="45"/>
      <c r="AP620" s="45"/>
      <c r="AQ620" s="45"/>
    </row>
    <row r="621" spans="1:43" ht="15.75" customHeight="1" x14ac:dyDescent="0.15">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c r="AP621" s="45"/>
      <c r="AQ621" s="45"/>
    </row>
    <row r="622" spans="1:43" ht="15.75" customHeight="1" x14ac:dyDescent="0.15">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c r="AJ622" s="45"/>
      <c r="AK622" s="45"/>
      <c r="AL622" s="45"/>
      <c r="AM622" s="45"/>
      <c r="AN622" s="45"/>
      <c r="AO622" s="45"/>
      <c r="AP622" s="45"/>
      <c r="AQ622" s="45"/>
    </row>
    <row r="623" spans="1:43" ht="15.75" customHeight="1" x14ac:dyDescent="0.15">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c r="AJ623" s="45"/>
      <c r="AK623" s="45"/>
      <c r="AL623" s="45"/>
      <c r="AM623" s="45"/>
      <c r="AN623" s="45"/>
      <c r="AO623" s="45"/>
      <c r="AP623" s="45"/>
      <c r="AQ623" s="45"/>
    </row>
    <row r="624" spans="1:43" ht="15.75" customHeight="1" x14ac:dyDescent="0.15">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c r="AJ624" s="45"/>
      <c r="AK624" s="45"/>
      <c r="AL624" s="45"/>
      <c r="AM624" s="45"/>
      <c r="AN624" s="45"/>
      <c r="AO624" s="45"/>
      <c r="AP624" s="45"/>
      <c r="AQ624" s="45"/>
    </row>
    <row r="625" spans="1:43" ht="15.75" customHeight="1" x14ac:dyDescent="0.1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c r="AJ625" s="45"/>
      <c r="AK625" s="45"/>
      <c r="AL625" s="45"/>
      <c r="AM625" s="45"/>
      <c r="AN625" s="45"/>
      <c r="AO625" s="45"/>
      <c r="AP625" s="45"/>
      <c r="AQ625" s="45"/>
    </row>
    <row r="626" spans="1:43" ht="15.75" customHeight="1" x14ac:dyDescent="0.15">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c r="AJ626" s="45"/>
      <c r="AK626" s="45"/>
      <c r="AL626" s="45"/>
      <c r="AM626" s="45"/>
      <c r="AN626" s="45"/>
      <c r="AO626" s="45"/>
      <c r="AP626" s="45"/>
      <c r="AQ626" s="45"/>
    </row>
    <row r="627" spans="1:43" ht="15.75" customHeight="1" x14ac:dyDescent="0.15">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c r="AJ627" s="45"/>
      <c r="AK627" s="45"/>
      <c r="AL627" s="45"/>
      <c r="AM627" s="45"/>
      <c r="AN627" s="45"/>
      <c r="AO627" s="45"/>
      <c r="AP627" s="45"/>
      <c r="AQ627" s="45"/>
    </row>
    <row r="628" spans="1:43" ht="15.75" customHeight="1" x14ac:dyDescent="0.15">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c r="AJ628" s="45"/>
      <c r="AK628" s="45"/>
      <c r="AL628" s="45"/>
      <c r="AM628" s="45"/>
      <c r="AN628" s="45"/>
      <c r="AO628" s="45"/>
      <c r="AP628" s="45"/>
      <c r="AQ628" s="45"/>
    </row>
    <row r="629" spans="1:43" ht="15.75" customHeight="1" x14ac:dyDescent="0.15">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c r="AP629" s="45"/>
      <c r="AQ629" s="45"/>
    </row>
    <row r="630" spans="1:43" ht="15.75" customHeight="1" x14ac:dyDescent="0.15">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c r="AJ630" s="45"/>
      <c r="AK630" s="45"/>
      <c r="AL630" s="45"/>
      <c r="AM630" s="45"/>
      <c r="AN630" s="45"/>
      <c r="AO630" s="45"/>
      <c r="AP630" s="45"/>
      <c r="AQ630" s="45"/>
    </row>
    <row r="631" spans="1:43" ht="15.75" customHeight="1" x14ac:dyDescent="0.15">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c r="AJ631" s="45"/>
      <c r="AK631" s="45"/>
      <c r="AL631" s="45"/>
      <c r="AM631" s="45"/>
      <c r="AN631" s="45"/>
      <c r="AO631" s="45"/>
      <c r="AP631" s="45"/>
      <c r="AQ631" s="45"/>
    </row>
    <row r="632" spans="1:43" ht="15.75" customHeight="1" x14ac:dyDescent="0.15">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c r="AJ632" s="45"/>
      <c r="AK632" s="45"/>
      <c r="AL632" s="45"/>
      <c r="AM632" s="45"/>
      <c r="AN632" s="45"/>
      <c r="AO632" s="45"/>
      <c r="AP632" s="45"/>
      <c r="AQ632" s="45"/>
    </row>
    <row r="633" spans="1:43" ht="15.75" customHeight="1" x14ac:dyDescent="0.15">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c r="AJ633" s="45"/>
      <c r="AK633" s="45"/>
      <c r="AL633" s="45"/>
      <c r="AM633" s="45"/>
      <c r="AN633" s="45"/>
      <c r="AO633" s="45"/>
      <c r="AP633" s="45"/>
      <c r="AQ633" s="45"/>
    </row>
    <row r="634" spans="1:43" ht="15.75" customHeight="1" x14ac:dyDescent="0.15">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c r="AJ634" s="45"/>
      <c r="AK634" s="45"/>
      <c r="AL634" s="45"/>
      <c r="AM634" s="45"/>
      <c r="AN634" s="45"/>
      <c r="AO634" s="45"/>
      <c r="AP634" s="45"/>
      <c r="AQ634" s="45"/>
    </row>
    <row r="635" spans="1:43" ht="15.75" customHeight="1" x14ac:dyDescent="0.1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c r="AJ635" s="45"/>
      <c r="AK635" s="45"/>
      <c r="AL635" s="45"/>
      <c r="AM635" s="45"/>
      <c r="AN635" s="45"/>
      <c r="AO635" s="45"/>
      <c r="AP635" s="45"/>
      <c r="AQ635" s="45"/>
    </row>
    <row r="636" spans="1:43" ht="15.75" customHeight="1" x14ac:dyDescent="0.15">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c r="AJ636" s="45"/>
      <c r="AK636" s="45"/>
      <c r="AL636" s="45"/>
      <c r="AM636" s="45"/>
      <c r="AN636" s="45"/>
      <c r="AO636" s="45"/>
      <c r="AP636" s="45"/>
      <c r="AQ636" s="45"/>
    </row>
    <row r="637" spans="1:43" ht="15.75" customHeight="1" x14ac:dyDescent="0.15">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c r="AJ637" s="45"/>
      <c r="AK637" s="45"/>
      <c r="AL637" s="45"/>
      <c r="AM637" s="45"/>
      <c r="AN637" s="45"/>
      <c r="AO637" s="45"/>
      <c r="AP637" s="45"/>
      <c r="AQ637" s="45"/>
    </row>
    <row r="638" spans="1:43" ht="15.75" customHeight="1" x14ac:dyDescent="0.15">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c r="AJ638" s="45"/>
      <c r="AK638" s="45"/>
      <c r="AL638" s="45"/>
      <c r="AM638" s="45"/>
      <c r="AN638" s="45"/>
      <c r="AO638" s="45"/>
      <c r="AP638" s="45"/>
      <c r="AQ638" s="45"/>
    </row>
    <row r="639" spans="1:43" ht="15.75" customHeight="1" x14ac:dyDescent="0.15">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c r="AJ639" s="45"/>
      <c r="AK639" s="45"/>
      <c r="AL639" s="45"/>
      <c r="AM639" s="45"/>
      <c r="AN639" s="45"/>
      <c r="AO639" s="45"/>
      <c r="AP639" s="45"/>
      <c r="AQ639" s="45"/>
    </row>
    <row r="640" spans="1:43" ht="15.75" customHeight="1" x14ac:dyDescent="0.15">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c r="AJ640" s="45"/>
      <c r="AK640" s="45"/>
      <c r="AL640" s="45"/>
      <c r="AM640" s="45"/>
      <c r="AN640" s="45"/>
      <c r="AO640" s="45"/>
      <c r="AP640" s="45"/>
      <c r="AQ640" s="45"/>
    </row>
    <row r="641" spans="1:43" ht="15.75" customHeight="1" x14ac:dyDescent="0.15">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c r="AJ641" s="45"/>
      <c r="AK641" s="45"/>
      <c r="AL641" s="45"/>
      <c r="AM641" s="45"/>
      <c r="AN641" s="45"/>
      <c r="AO641" s="45"/>
      <c r="AP641" s="45"/>
      <c r="AQ641" s="45"/>
    </row>
    <row r="642" spans="1:43" ht="15.75" customHeight="1" x14ac:dyDescent="0.15">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c r="AJ642" s="45"/>
      <c r="AK642" s="45"/>
      <c r="AL642" s="45"/>
      <c r="AM642" s="45"/>
      <c r="AN642" s="45"/>
      <c r="AO642" s="45"/>
      <c r="AP642" s="45"/>
      <c r="AQ642" s="45"/>
    </row>
    <row r="643" spans="1:43" ht="15.75" customHeight="1" x14ac:dyDescent="0.15">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c r="AJ643" s="45"/>
      <c r="AK643" s="45"/>
      <c r="AL643" s="45"/>
      <c r="AM643" s="45"/>
      <c r="AN643" s="45"/>
      <c r="AO643" s="45"/>
      <c r="AP643" s="45"/>
      <c r="AQ643" s="45"/>
    </row>
    <row r="644" spans="1:43" ht="15.75" customHeight="1" x14ac:dyDescent="0.15">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c r="AJ644" s="45"/>
      <c r="AK644" s="45"/>
      <c r="AL644" s="45"/>
      <c r="AM644" s="45"/>
      <c r="AN644" s="45"/>
      <c r="AO644" s="45"/>
      <c r="AP644" s="45"/>
      <c r="AQ644" s="45"/>
    </row>
    <row r="645" spans="1:43" ht="15.75" customHeight="1" x14ac:dyDescent="0.1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c r="AJ645" s="45"/>
      <c r="AK645" s="45"/>
      <c r="AL645" s="45"/>
      <c r="AM645" s="45"/>
      <c r="AN645" s="45"/>
      <c r="AO645" s="45"/>
      <c r="AP645" s="45"/>
      <c r="AQ645" s="45"/>
    </row>
    <row r="646" spans="1:43" ht="15.75" customHeight="1" x14ac:dyDescent="0.15">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c r="AJ646" s="45"/>
      <c r="AK646" s="45"/>
      <c r="AL646" s="45"/>
      <c r="AM646" s="45"/>
      <c r="AN646" s="45"/>
      <c r="AO646" s="45"/>
      <c r="AP646" s="45"/>
      <c r="AQ646" s="45"/>
    </row>
    <row r="647" spans="1:43" ht="15.75" customHeight="1" x14ac:dyDescent="0.15">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c r="AJ647" s="45"/>
      <c r="AK647" s="45"/>
      <c r="AL647" s="45"/>
      <c r="AM647" s="45"/>
      <c r="AN647" s="45"/>
      <c r="AO647" s="45"/>
      <c r="AP647" s="45"/>
      <c r="AQ647" s="45"/>
    </row>
    <row r="648" spans="1:43" ht="15.75" customHeight="1" x14ac:dyDescent="0.15">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c r="AJ648" s="45"/>
      <c r="AK648" s="45"/>
      <c r="AL648" s="45"/>
      <c r="AM648" s="45"/>
      <c r="AN648" s="45"/>
      <c r="AO648" s="45"/>
      <c r="AP648" s="45"/>
      <c r="AQ648" s="45"/>
    </row>
    <row r="649" spans="1:43" ht="15.75" customHeight="1" x14ac:dyDescent="0.15">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c r="AJ649" s="45"/>
      <c r="AK649" s="45"/>
      <c r="AL649" s="45"/>
      <c r="AM649" s="45"/>
      <c r="AN649" s="45"/>
      <c r="AO649" s="45"/>
      <c r="AP649" s="45"/>
      <c r="AQ649" s="45"/>
    </row>
    <row r="650" spans="1:43" ht="15.75" customHeight="1" x14ac:dyDescent="0.15">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c r="AJ650" s="45"/>
      <c r="AK650" s="45"/>
      <c r="AL650" s="45"/>
      <c r="AM650" s="45"/>
      <c r="AN650" s="45"/>
      <c r="AO650" s="45"/>
      <c r="AP650" s="45"/>
      <c r="AQ650" s="45"/>
    </row>
    <row r="651" spans="1:43" ht="15.75" customHeight="1" x14ac:dyDescent="0.15">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c r="AJ651" s="45"/>
      <c r="AK651" s="45"/>
      <c r="AL651" s="45"/>
      <c r="AM651" s="45"/>
      <c r="AN651" s="45"/>
      <c r="AO651" s="45"/>
      <c r="AP651" s="45"/>
      <c r="AQ651" s="45"/>
    </row>
    <row r="652" spans="1:43" ht="15.75" customHeight="1" x14ac:dyDescent="0.15">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c r="AJ652" s="45"/>
      <c r="AK652" s="45"/>
      <c r="AL652" s="45"/>
      <c r="AM652" s="45"/>
      <c r="AN652" s="45"/>
      <c r="AO652" s="45"/>
      <c r="AP652" s="45"/>
      <c r="AQ652" s="45"/>
    </row>
    <row r="653" spans="1:43" ht="15.75" customHeight="1" x14ac:dyDescent="0.15">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c r="AJ653" s="45"/>
      <c r="AK653" s="45"/>
      <c r="AL653" s="45"/>
      <c r="AM653" s="45"/>
      <c r="AN653" s="45"/>
      <c r="AO653" s="45"/>
      <c r="AP653" s="45"/>
      <c r="AQ653" s="45"/>
    </row>
    <row r="654" spans="1:43" ht="15.75" customHeight="1" x14ac:dyDescent="0.15">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c r="AJ654" s="45"/>
      <c r="AK654" s="45"/>
      <c r="AL654" s="45"/>
      <c r="AM654" s="45"/>
      <c r="AN654" s="45"/>
      <c r="AO654" s="45"/>
      <c r="AP654" s="45"/>
      <c r="AQ654" s="45"/>
    </row>
    <row r="655" spans="1:43" ht="15.75" customHeight="1" x14ac:dyDescent="0.1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c r="AJ655" s="45"/>
      <c r="AK655" s="45"/>
      <c r="AL655" s="45"/>
      <c r="AM655" s="45"/>
      <c r="AN655" s="45"/>
      <c r="AO655" s="45"/>
      <c r="AP655" s="45"/>
      <c r="AQ655" s="45"/>
    </row>
    <row r="656" spans="1:43" ht="15.75" customHeight="1" x14ac:dyDescent="0.15">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c r="AJ656" s="45"/>
      <c r="AK656" s="45"/>
      <c r="AL656" s="45"/>
      <c r="AM656" s="45"/>
      <c r="AN656" s="45"/>
      <c r="AO656" s="45"/>
      <c r="AP656" s="45"/>
      <c r="AQ656" s="45"/>
    </row>
    <row r="657" spans="1:43" ht="15.75" customHeight="1" x14ac:dyDescent="0.15">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c r="AJ657" s="45"/>
      <c r="AK657" s="45"/>
      <c r="AL657" s="45"/>
      <c r="AM657" s="45"/>
      <c r="AN657" s="45"/>
      <c r="AO657" s="45"/>
      <c r="AP657" s="45"/>
      <c r="AQ657" s="45"/>
    </row>
    <row r="658" spans="1:43" ht="15.75" customHeight="1" x14ac:dyDescent="0.15">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c r="AJ658" s="45"/>
      <c r="AK658" s="45"/>
      <c r="AL658" s="45"/>
      <c r="AM658" s="45"/>
      <c r="AN658" s="45"/>
      <c r="AO658" s="45"/>
      <c r="AP658" s="45"/>
      <c r="AQ658" s="45"/>
    </row>
    <row r="659" spans="1:43" ht="15.75" customHeight="1" x14ac:dyDescent="0.15">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c r="AJ659" s="45"/>
      <c r="AK659" s="45"/>
      <c r="AL659" s="45"/>
      <c r="AM659" s="45"/>
      <c r="AN659" s="45"/>
      <c r="AO659" s="45"/>
      <c r="AP659" s="45"/>
      <c r="AQ659" s="45"/>
    </row>
    <row r="660" spans="1:43" ht="15.75" customHeight="1" x14ac:dyDescent="0.15">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c r="AJ660" s="45"/>
      <c r="AK660" s="45"/>
      <c r="AL660" s="45"/>
      <c r="AM660" s="45"/>
      <c r="AN660" s="45"/>
      <c r="AO660" s="45"/>
      <c r="AP660" s="45"/>
      <c r="AQ660" s="45"/>
    </row>
    <row r="661" spans="1:43" ht="15.75" customHeight="1" x14ac:dyDescent="0.15">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c r="AJ661" s="45"/>
      <c r="AK661" s="45"/>
      <c r="AL661" s="45"/>
      <c r="AM661" s="45"/>
      <c r="AN661" s="45"/>
      <c r="AO661" s="45"/>
      <c r="AP661" s="45"/>
      <c r="AQ661" s="45"/>
    </row>
    <row r="662" spans="1:43" ht="15.75" customHeight="1" x14ac:dyDescent="0.15">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c r="AJ662" s="45"/>
      <c r="AK662" s="45"/>
      <c r="AL662" s="45"/>
      <c r="AM662" s="45"/>
      <c r="AN662" s="45"/>
      <c r="AO662" s="45"/>
      <c r="AP662" s="45"/>
      <c r="AQ662" s="45"/>
    </row>
    <row r="663" spans="1:43" ht="15.75" customHeight="1" x14ac:dyDescent="0.15">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c r="AJ663" s="45"/>
      <c r="AK663" s="45"/>
      <c r="AL663" s="45"/>
      <c r="AM663" s="45"/>
      <c r="AN663" s="45"/>
      <c r="AO663" s="45"/>
      <c r="AP663" s="45"/>
      <c r="AQ663" s="45"/>
    </row>
    <row r="664" spans="1:43" ht="15.75" customHeight="1" x14ac:dyDescent="0.15">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c r="AJ664" s="45"/>
      <c r="AK664" s="45"/>
      <c r="AL664" s="45"/>
      <c r="AM664" s="45"/>
      <c r="AN664" s="45"/>
      <c r="AO664" s="45"/>
      <c r="AP664" s="45"/>
      <c r="AQ664" s="45"/>
    </row>
    <row r="665" spans="1:43" ht="15.75" customHeight="1" x14ac:dyDescent="0.1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c r="AJ665" s="45"/>
      <c r="AK665" s="45"/>
      <c r="AL665" s="45"/>
      <c r="AM665" s="45"/>
      <c r="AN665" s="45"/>
      <c r="AO665" s="45"/>
      <c r="AP665" s="45"/>
      <c r="AQ665" s="45"/>
    </row>
    <row r="666" spans="1:43" ht="15.75" customHeight="1" x14ac:dyDescent="0.15">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c r="AJ666" s="45"/>
      <c r="AK666" s="45"/>
      <c r="AL666" s="45"/>
      <c r="AM666" s="45"/>
      <c r="AN666" s="45"/>
      <c r="AO666" s="45"/>
      <c r="AP666" s="45"/>
      <c r="AQ666" s="45"/>
    </row>
    <row r="667" spans="1:43" ht="15.75" customHeight="1" x14ac:dyDescent="0.15">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c r="AJ667" s="45"/>
      <c r="AK667" s="45"/>
      <c r="AL667" s="45"/>
      <c r="AM667" s="45"/>
      <c r="AN667" s="45"/>
      <c r="AO667" s="45"/>
      <c r="AP667" s="45"/>
      <c r="AQ667" s="45"/>
    </row>
    <row r="668" spans="1:43" ht="15.75" customHeight="1" x14ac:dyDescent="0.15">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c r="AJ668" s="45"/>
      <c r="AK668" s="45"/>
      <c r="AL668" s="45"/>
      <c r="AM668" s="45"/>
      <c r="AN668" s="45"/>
      <c r="AO668" s="45"/>
      <c r="AP668" s="45"/>
      <c r="AQ668" s="45"/>
    </row>
    <row r="669" spans="1:43" ht="15.75" customHeight="1" x14ac:dyDescent="0.15">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c r="AJ669" s="45"/>
      <c r="AK669" s="45"/>
      <c r="AL669" s="45"/>
      <c r="AM669" s="45"/>
      <c r="AN669" s="45"/>
      <c r="AO669" s="45"/>
      <c r="AP669" s="45"/>
      <c r="AQ669" s="45"/>
    </row>
    <row r="670" spans="1:43" ht="15.75" customHeight="1" x14ac:dyDescent="0.15">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c r="AJ670" s="45"/>
      <c r="AK670" s="45"/>
      <c r="AL670" s="45"/>
      <c r="AM670" s="45"/>
      <c r="AN670" s="45"/>
      <c r="AO670" s="45"/>
      <c r="AP670" s="45"/>
      <c r="AQ670" s="45"/>
    </row>
    <row r="671" spans="1:43" ht="15.75" customHeight="1" x14ac:dyDescent="0.15">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c r="AJ671" s="45"/>
      <c r="AK671" s="45"/>
      <c r="AL671" s="45"/>
      <c r="AM671" s="45"/>
      <c r="AN671" s="45"/>
      <c r="AO671" s="45"/>
      <c r="AP671" s="45"/>
      <c r="AQ671" s="45"/>
    </row>
    <row r="672" spans="1:43" ht="15.75" customHeight="1" x14ac:dyDescent="0.15">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c r="AJ672" s="45"/>
      <c r="AK672" s="45"/>
      <c r="AL672" s="45"/>
      <c r="AM672" s="45"/>
      <c r="AN672" s="45"/>
      <c r="AO672" s="45"/>
      <c r="AP672" s="45"/>
      <c r="AQ672" s="45"/>
    </row>
    <row r="673" spans="1:43" ht="15.75" customHeight="1" x14ac:dyDescent="0.15">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c r="AJ673" s="45"/>
      <c r="AK673" s="45"/>
      <c r="AL673" s="45"/>
      <c r="AM673" s="45"/>
      <c r="AN673" s="45"/>
      <c r="AO673" s="45"/>
      <c r="AP673" s="45"/>
      <c r="AQ673" s="45"/>
    </row>
    <row r="674" spans="1:43" ht="15.75" customHeight="1" x14ac:dyDescent="0.15">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c r="AJ674" s="45"/>
      <c r="AK674" s="45"/>
      <c r="AL674" s="45"/>
      <c r="AM674" s="45"/>
      <c r="AN674" s="45"/>
      <c r="AO674" s="45"/>
      <c r="AP674" s="45"/>
      <c r="AQ674" s="45"/>
    </row>
    <row r="675" spans="1:43" ht="15.75" customHeight="1" x14ac:dyDescent="0.1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c r="AJ675" s="45"/>
      <c r="AK675" s="45"/>
      <c r="AL675" s="45"/>
      <c r="AM675" s="45"/>
      <c r="AN675" s="45"/>
      <c r="AO675" s="45"/>
      <c r="AP675" s="45"/>
      <c r="AQ675" s="45"/>
    </row>
    <row r="676" spans="1:43" ht="15.75" customHeight="1" x14ac:dyDescent="0.15">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c r="AJ676" s="45"/>
      <c r="AK676" s="45"/>
      <c r="AL676" s="45"/>
      <c r="AM676" s="45"/>
      <c r="AN676" s="45"/>
      <c r="AO676" s="45"/>
      <c r="AP676" s="45"/>
      <c r="AQ676" s="45"/>
    </row>
    <row r="677" spans="1:43" ht="15.75" customHeight="1" x14ac:dyDescent="0.15">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c r="AJ677" s="45"/>
      <c r="AK677" s="45"/>
      <c r="AL677" s="45"/>
      <c r="AM677" s="45"/>
      <c r="AN677" s="45"/>
      <c r="AO677" s="45"/>
      <c r="AP677" s="45"/>
      <c r="AQ677" s="45"/>
    </row>
    <row r="678" spans="1:43" ht="15.75" customHeight="1" x14ac:dyDescent="0.15">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c r="AJ678" s="45"/>
      <c r="AK678" s="45"/>
      <c r="AL678" s="45"/>
      <c r="AM678" s="45"/>
      <c r="AN678" s="45"/>
      <c r="AO678" s="45"/>
      <c r="AP678" s="45"/>
      <c r="AQ678" s="45"/>
    </row>
    <row r="679" spans="1:43" ht="15.75" customHeight="1" x14ac:dyDescent="0.15">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c r="AJ679" s="45"/>
      <c r="AK679" s="45"/>
      <c r="AL679" s="45"/>
      <c r="AM679" s="45"/>
      <c r="AN679" s="45"/>
      <c r="AO679" s="45"/>
      <c r="AP679" s="45"/>
      <c r="AQ679" s="45"/>
    </row>
    <row r="680" spans="1:43" ht="15.75" customHeight="1" x14ac:dyDescent="0.15">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c r="AJ680" s="45"/>
      <c r="AK680" s="45"/>
      <c r="AL680" s="45"/>
      <c r="AM680" s="45"/>
      <c r="AN680" s="45"/>
      <c r="AO680" s="45"/>
      <c r="AP680" s="45"/>
      <c r="AQ680" s="45"/>
    </row>
    <row r="681" spans="1:43" ht="15.75" customHeight="1" x14ac:dyDescent="0.15">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c r="AJ681" s="45"/>
      <c r="AK681" s="45"/>
      <c r="AL681" s="45"/>
      <c r="AM681" s="45"/>
      <c r="AN681" s="45"/>
      <c r="AO681" s="45"/>
      <c r="AP681" s="45"/>
      <c r="AQ681" s="45"/>
    </row>
    <row r="682" spans="1:43" ht="15.75" customHeight="1" x14ac:dyDescent="0.15">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c r="AJ682" s="45"/>
      <c r="AK682" s="45"/>
      <c r="AL682" s="45"/>
      <c r="AM682" s="45"/>
      <c r="AN682" s="45"/>
      <c r="AO682" s="45"/>
      <c r="AP682" s="45"/>
      <c r="AQ682" s="45"/>
    </row>
    <row r="683" spans="1:43" ht="15.75" customHeight="1" x14ac:dyDescent="0.15">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c r="AJ683" s="45"/>
      <c r="AK683" s="45"/>
      <c r="AL683" s="45"/>
      <c r="AM683" s="45"/>
      <c r="AN683" s="45"/>
      <c r="AO683" s="45"/>
      <c r="AP683" s="45"/>
      <c r="AQ683" s="45"/>
    </row>
    <row r="684" spans="1:43" ht="15.75" customHeight="1" x14ac:dyDescent="0.15">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c r="AJ684" s="45"/>
      <c r="AK684" s="45"/>
      <c r="AL684" s="45"/>
      <c r="AM684" s="45"/>
      <c r="AN684" s="45"/>
      <c r="AO684" s="45"/>
      <c r="AP684" s="45"/>
      <c r="AQ684" s="45"/>
    </row>
    <row r="685" spans="1:43" ht="15.75" customHeight="1" x14ac:dyDescent="0.1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c r="AJ685" s="45"/>
      <c r="AK685" s="45"/>
      <c r="AL685" s="45"/>
      <c r="AM685" s="45"/>
      <c r="AN685" s="45"/>
      <c r="AO685" s="45"/>
      <c r="AP685" s="45"/>
      <c r="AQ685" s="45"/>
    </row>
    <row r="686" spans="1:43" ht="15.75" customHeight="1" x14ac:dyDescent="0.15">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c r="AJ686" s="45"/>
      <c r="AK686" s="45"/>
      <c r="AL686" s="45"/>
      <c r="AM686" s="45"/>
      <c r="AN686" s="45"/>
      <c r="AO686" s="45"/>
      <c r="AP686" s="45"/>
      <c r="AQ686" s="45"/>
    </row>
    <row r="687" spans="1:43" ht="15.75" customHeight="1" x14ac:dyDescent="0.15">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c r="AJ687" s="45"/>
      <c r="AK687" s="45"/>
      <c r="AL687" s="45"/>
      <c r="AM687" s="45"/>
      <c r="AN687" s="45"/>
      <c r="AO687" s="45"/>
      <c r="AP687" s="45"/>
      <c r="AQ687" s="45"/>
    </row>
    <row r="688" spans="1:43" ht="15.75" customHeight="1" x14ac:dyDescent="0.15">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c r="AJ688" s="45"/>
      <c r="AK688" s="45"/>
      <c r="AL688" s="45"/>
      <c r="AM688" s="45"/>
      <c r="AN688" s="45"/>
      <c r="AO688" s="45"/>
      <c r="AP688" s="45"/>
      <c r="AQ688" s="45"/>
    </row>
    <row r="689" spans="1:43" ht="15.75" customHeight="1" x14ac:dyDescent="0.15">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c r="AJ689" s="45"/>
      <c r="AK689" s="45"/>
      <c r="AL689" s="45"/>
      <c r="AM689" s="45"/>
      <c r="AN689" s="45"/>
      <c r="AO689" s="45"/>
      <c r="AP689" s="45"/>
      <c r="AQ689" s="45"/>
    </row>
    <row r="690" spans="1:43" ht="15.75" customHeight="1" x14ac:dyDescent="0.15">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c r="AJ690" s="45"/>
      <c r="AK690" s="45"/>
      <c r="AL690" s="45"/>
      <c r="AM690" s="45"/>
      <c r="AN690" s="45"/>
      <c r="AO690" s="45"/>
      <c r="AP690" s="45"/>
      <c r="AQ690" s="45"/>
    </row>
    <row r="691" spans="1:43" ht="15.75" customHeight="1" x14ac:dyDescent="0.15">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c r="AJ691" s="45"/>
      <c r="AK691" s="45"/>
      <c r="AL691" s="45"/>
      <c r="AM691" s="45"/>
      <c r="AN691" s="45"/>
      <c r="AO691" s="45"/>
      <c r="AP691" s="45"/>
      <c r="AQ691" s="45"/>
    </row>
    <row r="692" spans="1:43" ht="15.75" customHeight="1" x14ac:dyDescent="0.15">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c r="AJ692" s="45"/>
      <c r="AK692" s="45"/>
      <c r="AL692" s="45"/>
      <c r="AM692" s="45"/>
      <c r="AN692" s="45"/>
      <c r="AO692" s="45"/>
      <c r="AP692" s="45"/>
      <c r="AQ692" s="45"/>
    </row>
    <row r="693" spans="1:43" ht="15.75" customHeight="1" x14ac:dyDescent="0.15">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c r="AJ693" s="45"/>
      <c r="AK693" s="45"/>
      <c r="AL693" s="45"/>
      <c r="AM693" s="45"/>
      <c r="AN693" s="45"/>
      <c r="AO693" s="45"/>
      <c r="AP693" s="45"/>
      <c r="AQ693" s="45"/>
    </row>
    <row r="694" spans="1:43" ht="15.75" customHeight="1" x14ac:dyDescent="0.15">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c r="AJ694" s="45"/>
      <c r="AK694" s="45"/>
      <c r="AL694" s="45"/>
      <c r="AM694" s="45"/>
      <c r="AN694" s="45"/>
      <c r="AO694" s="45"/>
      <c r="AP694" s="45"/>
      <c r="AQ694" s="45"/>
    </row>
    <row r="695" spans="1:43" ht="15.75" customHeight="1" x14ac:dyDescent="0.1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c r="AJ695" s="45"/>
      <c r="AK695" s="45"/>
      <c r="AL695" s="45"/>
      <c r="AM695" s="45"/>
      <c r="AN695" s="45"/>
      <c r="AO695" s="45"/>
      <c r="AP695" s="45"/>
      <c r="AQ695" s="45"/>
    </row>
    <row r="696" spans="1:43" ht="15.75" customHeight="1" x14ac:dyDescent="0.15">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c r="AJ696" s="45"/>
      <c r="AK696" s="45"/>
      <c r="AL696" s="45"/>
      <c r="AM696" s="45"/>
      <c r="AN696" s="45"/>
      <c r="AO696" s="45"/>
      <c r="AP696" s="45"/>
      <c r="AQ696" s="45"/>
    </row>
    <row r="697" spans="1:43" ht="15.75" customHeight="1" x14ac:dyDescent="0.15">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c r="AJ697" s="45"/>
      <c r="AK697" s="45"/>
      <c r="AL697" s="45"/>
      <c r="AM697" s="45"/>
      <c r="AN697" s="45"/>
      <c r="AO697" s="45"/>
      <c r="AP697" s="45"/>
      <c r="AQ697" s="45"/>
    </row>
    <row r="698" spans="1:43" ht="15.75" customHeight="1" x14ac:dyDescent="0.15">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c r="AJ698" s="45"/>
      <c r="AK698" s="45"/>
      <c r="AL698" s="45"/>
      <c r="AM698" s="45"/>
      <c r="AN698" s="45"/>
      <c r="AO698" s="45"/>
      <c r="AP698" s="45"/>
      <c r="AQ698" s="45"/>
    </row>
    <row r="699" spans="1:43" ht="15.75" customHeight="1" x14ac:dyDescent="0.15">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c r="AJ699" s="45"/>
      <c r="AK699" s="45"/>
      <c r="AL699" s="45"/>
      <c r="AM699" s="45"/>
      <c r="AN699" s="45"/>
      <c r="AO699" s="45"/>
      <c r="AP699" s="45"/>
      <c r="AQ699" s="45"/>
    </row>
    <row r="700" spans="1:43" ht="15.75" customHeight="1" x14ac:dyDescent="0.15">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c r="AJ700" s="45"/>
      <c r="AK700" s="45"/>
      <c r="AL700" s="45"/>
      <c r="AM700" s="45"/>
      <c r="AN700" s="45"/>
      <c r="AO700" s="45"/>
      <c r="AP700" s="45"/>
      <c r="AQ700" s="45"/>
    </row>
    <row r="701" spans="1:43" ht="15.75" customHeight="1" x14ac:dyDescent="0.15">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c r="AJ701" s="45"/>
      <c r="AK701" s="45"/>
      <c r="AL701" s="45"/>
      <c r="AM701" s="45"/>
      <c r="AN701" s="45"/>
      <c r="AO701" s="45"/>
      <c r="AP701" s="45"/>
      <c r="AQ701" s="45"/>
    </row>
    <row r="702" spans="1:43" ht="15.75" customHeight="1" x14ac:dyDescent="0.15">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c r="AP702" s="45"/>
      <c r="AQ702" s="45"/>
    </row>
    <row r="703" spans="1:43" ht="15.75" customHeight="1" x14ac:dyDescent="0.15">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c r="AJ703" s="45"/>
      <c r="AK703" s="45"/>
      <c r="AL703" s="45"/>
      <c r="AM703" s="45"/>
      <c r="AN703" s="45"/>
      <c r="AO703" s="45"/>
      <c r="AP703" s="45"/>
      <c r="AQ703" s="45"/>
    </row>
    <row r="704" spans="1:43" ht="15.75" customHeight="1" x14ac:dyDescent="0.15">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c r="AJ704" s="45"/>
      <c r="AK704" s="45"/>
      <c r="AL704" s="45"/>
      <c r="AM704" s="45"/>
      <c r="AN704" s="45"/>
      <c r="AO704" s="45"/>
      <c r="AP704" s="45"/>
      <c r="AQ704" s="45"/>
    </row>
    <row r="705" spans="1:43" ht="15.75" customHeight="1" x14ac:dyDescent="0.1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c r="AJ705" s="45"/>
      <c r="AK705" s="45"/>
      <c r="AL705" s="45"/>
      <c r="AM705" s="45"/>
      <c r="AN705" s="45"/>
      <c r="AO705" s="45"/>
      <c r="AP705" s="45"/>
      <c r="AQ705" s="45"/>
    </row>
    <row r="706" spans="1:43" ht="15.75" customHeight="1" x14ac:dyDescent="0.15">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c r="AJ706" s="45"/>
      <c r="AK706" s="45"/>
      <c r="AL706" s="45"/>
      <c r="AM706" s="45"/>
      <c r="AN706" s="45"/>
      <c r="AO706" s="45"/>
      <c r="AP706" s="45"/>
      <c r="AQ706" s="45"/>
    </row>
    <row r="707" spans="1:43" ht="15.75" customHeight="1" x14ac:dyDescent="0.15">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c r="AJ707" s="45"/>
      <c r="AK707" s="45"/>
      <c r="AL707" s="45"/>
      <c r="AM707" s="45"/>
      <c r="AN707" s="45"/>
      <c r="AO707" s="45"/>
      <c r="AP707" s="45"/>
      <c r="AQ707" s="45"/>
    </row>
    <row r="708" spans="1:43" ht="15.75" customHeight="1" x14ac:dyDescent="0.15">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c r="AJ708" s="45"/>
      <c r="AK708" s="45"/>
      <c r="AL708" s="45"/>
      <c r="AM708" s="45"/>
      <c r="AN708" s="45"/>
      <c r="AO708" s="45"/>
      <c r="AP708" s="45"/>
      <c r="AQ708" s="45"/>
    </row>
    <row r="709" spans="1:43" ht="15.75" customHeight="1" x14ac:dyDescent="0.15">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c r="AJ709" s="45"/>
      <c r="AK709" s="45"/>
      <c r="AL709" s="45"/>
      <c r="AM709" s="45"/>
      <c r="AN709" s="45"/>
      <c r="AO709" s="45"/>
      <c r="AP709" s="45"/>
      <c r="AQ709" s="45"/>
    </row>
    <row r="710" spans="1:43" ht="15.75" customHeight="1" x14ac:dyDescent="0.15">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c r="AJ710" s="45"/>
      <c r="AK710" s="45"/>
      <c r="AL710" s="45"/>
      <c r="AM710" s="45"/>
      <c r="AN710" s="45"/>
      <c r="AO710" s="45"/>
      <c r="AP710" s="45"/>
      <c r="AQ710" s="45"/>
    </row>
    <row r="711" spans="1:43" ht="15.75" customHeight="1" x14ac:dyDescent="0.15">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c r="AJ711" s="45"/>
      <c r="AK711" s="45"/>
      <c r="AL711" s="45"/>
      <c r="AM711" s="45"/>
      <c r="AN711" s="45"/>
      <c r="AO711" s="45"/>
      <c r="AP711" s="45"/>
      <c r="AQ711" s="45"/>
    </row>
    <row r="712" spans="1:43" ht="15.75" customHeight="1" x14ac:dyDescent="0.15">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c r="AJ712" s="45"/>
      <c r="AK712" s="45"/>
      <c r="AL712" s="45"/>
      <c r="AM712" s="45"/>
      <c r="AN712" s="45"/>
      <c r="AO712" s="45"/>
      <c r="AP712" s="45"/>
      <c r="AQ712" s="45"/>
    </row>
    <row r="713" spans="1:43" ht="15.75" customHeight="1" x14ac:dyDescent="0.15">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c r="AJ713" s="45"/>
      <c r="AK713" s="45"/>
      <c r="AL713" s="45"/>
      <c r="AM713" s="45"/>
      <c r="AN713" s="45"/>
      <c r="AO713" s="45"/>
      <c r="AP713" s="45"/>
      <c r="AQ713" s="45"/>
    </row>
    <row r="714" spans="1:43" ht="15.75" customHeight="1" x14ac:dyDescent="0.15">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c r="AJ714" s="45"/>
      <c r="AK714" s="45"/>
      <c r="AL714" s="45"/>
      <c r="AM714" s="45"/>
      <c r="AN714" s="45"/>
      <c r="AO714" s="45"/>
      <c r="AP714" s="45"/>
      <c r="AQ714" s="45"/>
    </row>
    <row r="715" spans="1:43" ht="15.75" customHeight="1" x14ac:dyDescent="0.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c r="AJ715" s="45"/>
      <c r="AK715" s="45"/>
      <c r="AL715" s="45"/>
      <c r="AM715" s="45"/>
      <c r="AN715" s="45"/>
      <c r="AO715" s="45"/>
      <c r="AP715" s="45"/>
      <c r="AQ715" s="45"/>
    </row>
    <row r="716" spans="1:43" ht="15.75" customHeight="1" x14ac:dyDescent="0.15">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c r="AJ716" s="45"/>
      <c r="AK716" s="45"/>
      <c r="AL716" s="45"/>
      <c r="AM716" s="45"/>
      <c r="AN716" s="45"/>
      <c r="AO716" s="45"/>
      <c r="AP716" s="45"/>
      <c r="AQ716" s="45"/>
    </row>
    <row r="717" spans="1:43" ht="15.75" customHeight="1" x14ac:dyDescent="0.15">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c r="AJ717" s="45"/>
      <c r="AK717" s="45"/>
      <c r="AL717" s="45"/>
      <c r="AM717" s="45"/>
      <c r="AN717" s="45"/>
      <c r="AO717" s="45"/>
      <c r="AP717" s="45"/>
      <c r="AQ717" s="45"/>
    </row>
    <row r="718" spans="1:43" ht="15.75" customHeight="1" x14ac:dyDescent="0.15">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c r="AJ718" s="45"/>
      <c r="AK718" s="45"/>
      <c r="AL718" s="45"/>
      <c r="AM718" s="45"/>
      <c r="AN718" s="45"/>
      <c r="AO718" s="45"/>
      <c r="AP718" s="45"/>
      <c r="AQ718" s="45"/>
    </row>
    <row r="719" spans="1:43" ht="15.75" customHeight="1" x14ac:dyDescent="0.15">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c r="AJ719" s="45"/>
      <c r="AK719" s="45"/>
      <c r="AL719" s="45"/>
      <c r="AM719" s="45"/>
      <c r="AN719" s="45"/>
      <c r="AO719" s="45"/>
      <c r="AP719" s="45"/>
      <c r="AQ719" s="45"/>
    </row>
    <row r="720" spans="1:43" ht="15.75" customHeight="1" x14ac:dyDescent="0.15">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c r="AJ720" s="45"/>
      <c r="AK720" s="45"/>
      <c r="AL720" s="45"/>
      <c r="AM720" s="45"/>
      <c r="AN720" s="45"/>
      <c r="AO720" s="45"/>
      <c r="AP720" s="45"/>
      <c r="AQ720" s="45"/>
    </row>
    <row r="721" spans="1:43" ht="15.75" customHeight="1" x14ac:dyDescent="0.15">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c r="AJ721" s="45"/>
      <c r="AK721" s="45"/>
      <c r="AL721" s="45"/>
      <c r="AM721" s="45"/>
      <c r="AN721" s="45"/>
      <c r="AO721" s="45"/>
      <c r="AP721" s="45"/>
      <c r="AQ721" s="45"/>
    </row>
    <row r="722" spans="1:43" ht="15.75" customHeight="1" x14ac:dyDescent="0.15">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c r="AJ722" s="45"/>
      <c r="AK722" s="45"/>
      <c r="AL722" s="45"/>
      <c r="AM722" s="45"/>
      <c r="AN722" s="45"/>
      <c r="AO722" s="45"/>
      <c r="AP722" s="45"/>
      <c r="AQ722" s="45"/>
    </row>
    <row r="723" spans="1:43" ht="15.75" customHeight="1" x14ac:dyDescent="0.15">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c r="AJ723" s="45"/>
      <c r="AK723" s="45"/>
      <c r="AL723" s="45"/>
      <c r="AM723" s="45"/>
      <c r="AN723" s="45"/>
      <c r="AO723" s="45"/>
      <c r="AP723" s="45"/>
      <c r="AQ723" s="45"/>
    </row>
    <row r="724" spans="1:43" ht="15.75" customHeight="1" x14ac:dyDescent="0.15">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c r="AJ724" s="45"/>
      <c r="AK724" s="45"/>
      <c r="AL724" s="45"/>
      <c r="AM724" s="45"/>
      <c r="AN724" s="45"/>
      <c r="AO724" s="45"/>
      <c r="AP724" s="45"/>
      <c r="AQ724" s="45"/>
    </row>
    <row r="725" spans="1:43" ht="15.75" customHeight="1" x14ac:dyDescent="0.1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c r="AJ725" s="45"/>
      <c r="AK725" s="45"/>
      <c r="AL725" s="45"/>
      <c r="AM725" s="45"/>
      <c r="AN725" s="45"/>
      <c r="AO725" s="45"/>
      <c r="AP725" s="45"/>
      <c r="AQ725" s="45"/>
    </row>
    <row r="726" spans="1:43" ht="15.75" customHeight="1" x14ac:dyDescent="0.15">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c r="AJ726" s="45"/>
      <c r="AK726" s="45"/>
      <c r="AL726" s="45"/>
      <c r="AM726" s="45"/>
      <c r="AN726" s="45"/>
      <c r="AO726" s="45"/>
      <c r="AP726" s="45"/>
      <c r="AQ726" s="45"/>
    </row>
    <row r="727" spans="1:43" ht="15.75" customHeight="1" x14ac:dyDescent="0.15">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c r="AJ727" s="45"/>
      <c r="AK727" s="45"/>
      <c r="AL727" s="45"/>
      <c r="AM727" s="45"/>
      <c r="AN727" s="45"/>
      <c r="AO727" s="45"/>
      <c r="AP727" s="45"/>
      <c r="AQ727" s="45"/>
    </row>
    <row r="728" spans="1:43" ht="15.75" customHeight="1" x14ac:dyDescent="0.15">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c r="AJ728" s="45"/>
      <c r="AK728" s="45"/>
      <c r="AL728" s="45"/>
      <c r="AM728" s="45"/>
      <c r="AN728" s="45"/>
      <c r="AO728" s="45"/>
      <c r="AP728" s="45"/>
      <c r="AQ728" s="45"/>
    </row>
    <row r="729" spans="1:43" ht="15.75" customHeight="1" x14ac:dyDescent="0.15">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c r="AJ729" s="45"/>
      <c r="AK729" s="45"/>
      <c r="AL729" s="45"/>
      <c r="AM729" s="45"/>
      <c r="AN729" s="45"/>
      <c r="AO729" s="45"/>
      <c r="AP729" s="45"/>
      <c r="AQ729" s="45"/>
    </row>
    <row r="730" spans="1:43" ht="15.75" customHeight="1" x14ac:dyDescent="0.15">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c r="AJ730" s="45"/>
      <c r="AK730" s="45"/>
      <c r="AL730" s="45"/>
      <c r="AM730" s="45"/>
      <c r="AN730" s="45"/>
      <c r="AO730" s="45"/>
      <c r="AP730" s="45"/>
      <c r="AQ730" s="45"/>
    </row>
    <row r="731" spans="1:43" ht="15.75" customHeight="1" x14ac:dyDescent="0.15">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c r="AJ731" s="45"/>
      <c r="AK731" s="45"/>
      <c r="AL731" s="45"/>
      <c r="AM731" s="45"/>
      <c r="AN731" s="45"/>
      <c r="AO731" s="45"/>
      <c r="AP731" s="45"/>
      <c r="AQ731" s="45"/>
    </row>
    <row r="732" spans="1:43" ht="15.75" customHeight="1" x14ac:dyDescent="0.15">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c r="AJ732" s="45"/>
      <c r="AK732" s="45"/>
      <c r="AL732" s="45"/>
      <c r="AM732" s="45"/>
      <c r="AN732" s="45"/>
      <c r="AO732" s="45"/>
      <c r="AP732" s="45"/>
      <c r="AQ732" s="45"/>
    </row>
    <row r="733" spans="1:43" ht="15.75" customHeight="1" x14ac:dyDescent="0.15">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c r="AP733" s="45"/>
      <c r="AQ733" s="45"/>
    </row>
    <row r="734" spans="1:43" ht="15.75" customHeight="1" x14ac:dyDescent="0.15">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c r="AJ734" s="45"/>
      <c r="AK734" s="45"/>
      <c r="AL734" s="45"/>
      <c r="AM734" s="45"/>
      <c r="AN734" s="45"/>
      <c r="AO734" s="45"/>
      <c r="AP734" s="45"/>
      <c r="AQ734" s="45"/>
    </row>
    <row r="735" spans="1:43" ht="15.75" customHeight="1" x14ac:dyDescent="0.1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c r="AJ735" s="45"/>
      <c r="AK735" s="45"/>
      <c r="AL735" s="45"/>
      <c r="AM735" s="45"/>
      <c r="AN735" s="45"/>
      <c r="AO735" s="45"/>
      <c r="AP735" s="45"/>
      <c r="AQ735" s="45"/>
    </row>
    <row r="736" spans="1:43" ht="15.75" customHeight="1" x14ac:dyDescent="0.15">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c r="AP736" s="45"/>
      <c r="AQ736" s="45"/>
    </row>
    <row r="737" spans="1:43" ht="15.75" customHeight="1" x14ac:dyDescent="0.15">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c r="AJ737" s="45"/>
      <c r="AK737" s="45"/>
      <c r="AL737" s="45"/>
      <c r="AM737" s="45"/>
      <c r="AN737" s="45"/>
      <c r="AO737" s="45"/>
      <c r="AP737" s="45"/>
      <c r="AQ737" s="45"/>
    </row>
    <row r="738" spans="1:43" ht="15.75" customHeight="1" x14ac:dyDescent="0.15">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c r="AJ738" s="45"/>
      <c r="AK738" s="45"/>
      <c r="AL738" s="45"/>
      <c r="AM738" s="45"/>
      <c r="AN738" s="45"/>
      <c r="AO738" s="45"/>
      <c r="AP738" s="45"/>
      <c r="AQ738" s="45"/>
    </row>
    <row r="739" spans="1:43" ht="15.75" customHeight="1" x14ac:dyDescent="0.15">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c r="AJ739" s="45"/>
      <c r="AK739" s="45"/>
      <c r="AL739" s="45"/>
      <c r="AM739" s="45"/>
      <c r="AN739" s="45"/>
      <c r="AO739" s="45"/>
      <c r="AP739" s="45"/>
      <c r="AQ739" s="45"/>
    </row>
    <row r="740" spans="1:43" ht="15.75" customHeight="1" x14ac:dyDescent="0.15">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c r="AJ740" s="45"/>
      <c r="AK740" s="45"/>
      <c r="AL740" s="45"/>
      <c r="AM740" s="45"/>
      <c r="AN740" s="45"/>
      <c r="AO740" s="45"/>
      <c r="AP740" s="45"/>
      <c r="AQ740" s="45"/>
    </row>
    <row r="741" spans="1:43" ht="15.75" customHeight="1" x14ac:dyDescent="0.15">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c r="AJ741" s="45"/>
      <c r="AK741" s="45"/>
      <c r="AL741" s="45"/>
      <c r="AM741" s="45"/>
      <c r="AN741" s="45"/>
      <c r="AO741" s="45"/>
      <c r="AP741" s="45"/>
      <c r="AQ741" s="45"/>
    </row>
    <row r="742" spans="1:43" ht="15.75" customHeight="1" x14ac:dyDescent="0.15">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c r="AJ742" s="45"/>
      <c r="AK742" s="45"/>
      <c r="AL742" s="45"/>
      <c r="AM742" s="45"/>
      <c r="AN742" s="45"/>
      <c r="AO742" s="45"/>
      <c r="AP742" s="45"/>
      <c r="AQ742" s="45"/>
    </row>
    <row r="743" spans="1:43" ht="15.75" customHeight="1" x14ac:dyDescent="0.15">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c r="AJ743" s="45"/>
      <c r="AK743" s="45"/>
      <c r="AL743" s="45"/>
      <c r="AM743" s="45"/>
      <c r="AN743" s="45"/>
      <c r="AO743" s="45"/>
      <c r="AP743" s="45"/>
      <c r="AQ743" s="45"/>
    </row>
    <row r="744" spans="1:43" ht="15.75" customHeight="1" x14ac:dyDescent="0.15">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c r="AP744" s="45"/>
      <c r="AQ744" s="45"/>
    </row>
    <row r="745" spans="1:43" ht="15.75" customHeight="1" x14ac:dyDescent="0.1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c r="AJ745" s="45"/>
      <c r="AK745" s="45"/>
      <c r="AL745" s="45"/>
      <c r="AM745" s="45"/>
      <c r="AN745" s="45"/>
      <c r="AO745" s="45"/>
      <c r="AP745" s="45"/>
      <c r="AQ745" s="45"/>
    </row>
    <row r="746" spans="1:43" ht="15.75" customHeight="1" x14ac:dyDescent="0.15">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c r="AJ746" s="45"/>
      <c r="AK746" s="45"/>
      <c r="AL746" s="45"/>
      <c r="AM746" s="45"/>
      <c r="AN746" s="45"/>
      <c r="AO746" s="45"/>
      <c r="AP746" s="45"/>
      <c r="AQ746" s="45"/>
    </row>
    <row r="747" spans="1:43" ht="15.75" customHeight="1" x14ac:dyDescent="0.15">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c r="AJ747" s="45"/>
      <c r="AK747" s="45"/>
      <c r="AL747" s="45"/>
      <c r="AM747" s="45"/>
      <c r="AN747" s="45"/>
      <c r="AO747" s="45"/>
      <c r="AP747" s="45"/>
      <c r="AQ747" s="45"/>
    </row>
    <row r="748" spans="1:43" ht="15.75" customHeight="1" x14ac:dyDescent="0.15">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c r="AJ748" s="45"/>
      <c r="AK748" s="45"/>
      <c r="AL748" s="45"/>
      <c r="AM748" s="45"/>
      <c r="AN748" s="45"/>
      <c r="AO748" s="45"/>
      <c r="AP748" s="45"/>
      <c r="AQ748" s="45"/>
    </row>
    <row r="749" spans="1:43" ht="15.75" customHeight="1" x14ac:dyDescent="0.15">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c r="AJ749" s="45"/>
      <c r="AK749" s="45"/>
      <c r="AL749" s="45"/>
      <c r="AM749" s="45"/>
      <c r="AN749" s="45"/>
      <c r="AO749" s="45"/>
      <c r="AP749" s="45"/>
      <c r="AQ749" s="45"/>
    </row>
    <row r="750" spans="1:43" ht="15.75" customHeight="1" x14ac:dyDescent="0.15">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c r="AJ750" s="45"/>
      <c r="AK750" s="45"/>
      <c r="AL750" s="45"/>
      <c r="AM750" s="45"/>
      <c r="AN750" s="45"/>
      <c r="AO750" s="45"/>
      <c r="AP750" s="45"/>
      <c r="AQ750" s="45"/>
    </row>
    <row r="751" spans="1:43" ht="15.75" customHeight="1" x14ac:dyDescent="0.15">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c r="AJ751" s="45"/>
      <c r="AK751" s="45"/>
      <c r="AL751" s="45"/>
      <c r="AM751" s="45"/>
      <c r="AN751" s="45"/>
      <c r="AO751" s="45"/>
      <c r="AP751" s="45"/>
      <c r="AQ751" s="45"/>
    </row>
    <row r="752" spans="1:43" ht="15.75" customHeight="1" x14ac:dyDescent="0.15">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c r="AP752" s="45"/>
      <c r="AQ752" s="45"/>
    </row>
    <row r="753" spans="1:43" ht="15.75" customHeight="1" x14ac:dyDescent="0.15">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c r="AJ753" s="45"/>
      <c r="AK753" s="45"/>
      <c r="AL753" s="45"/>
      <c r="AM753" s="45"/>
      <c r="AN753" s="45"/>
      <c r="AO753" s="45"/>
      <c r="AP753" s="45"/>
      <c r="AQ753" s="45"/>
    </row>
    <row r="754" spans="1:43" ht="15.75" customHeight="1" x14ac:dyDescent="0.15">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c r="AJ754" s="45"/>
      <c r="AK754" s="45"/>
      <c r="AL754" s="45"/>
      <c r="AM754" s="45"/>
      <c r="AN754" s="45"/>
      <c r="AO754" s="45"/>
      <c r="AP754" s="45"/>
      <c r="AQ754" s="45"/>
    </row>
    <row r="755" spans="1:43" ht="15.75" customHeight="1" x14ac:dyDescent="0.1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c r="AJ755" s="45"/>
      <c r="AK755" s="45"/>
      <c r="AL755" s="45"/>
      <c r="AM755" s="45"/>
      <c r="AN755" s="45"/>
      <c r="AO755" s="45"/>
      <c r="AP755" s="45"/>
      <c r="AQ755" s="45"/>
    </row>
    <row r="756" spans="1:43" ht="15.75" customHeight="1" x14ac:dyDescent="0.15">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c r="AJ756" s="45"/>
      <c r="AK756" s="45"/>
      <c r="AL756" s="45"/>
      <c r="AM756" s="45"/>
      <c r="AN756" s="45"/>
      <c r="AO756" s="45"/>
      <c r="AP756" s="45"/>
      <c r="AQ756" s="45"/>
    </row>
    <row r="757" spans="1:43" ht="15.75" customHeight="1" x14ac:dyDescent="0.15">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c r="AJ757" s="45"/>
      <c r="AK757" s="45"/>
      <c r="AL757" s="45"/>
      <c r="AM757" s="45"/>
      <c r="AN757" s="45"/>
      <c r="AO757" s="45"/>
      <c r="AP757" s="45"/>
      <c r="AQ757" s="45"/>
    </row>
    <row r="758" spans="1:43" ht="15.75" customHeight="1" x14ac:dyDescent="0.15">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c r="AJ758" s="45"/>
      <c r="AK758" s="45"/>
      <c r="AL758" s="45"/>
      <c r="AM758" s="45"/>
      <c r="AN758" s="45"/>
      <c r="AO758" s="45"/>
      <c r="AP758" s="45"/>
      <c r="AQ758" s="45"/>
    </row>
    <row r="759" spans="1:43" ht="15.75" customHeight="1" x14ac:dyDescent="0.15">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c r="AJ759" s="45"/>
      <c r="AK759" s="45"/>
      <c r="AL759" s="45"/>
      <c r="AM759" s="45"/>
      <c r="AN759" s="45"/>
      <c r="AO759" s="45"/>
      <c r="AP759" s="45"/>
      <c r="AQ759" s="45"/>
    </row>
    <row r="760" spans="1:43" ht="15.75" customHeight="1" x14ac:dyDescent="0.15">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c r="AJ760" s="45"/>
      <c r="AK760" s="45"/>
      <c r="AL760" s="45"/>
      <c r="AM760" s="45"/>
      <c r="AN760" s="45"/>
      <c r="AO760" s="45"/>
      <c r="AP760" s="45"/>
      <c r="AQ760" s="45"/>
    </row>
    <row r="761" spans="1:43" ht="15.75" customHeight="1" x14ac:dyDescent="0.15">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c r="AJ761" s="45"/>
      <c r="AK761" s="45"/>
      <c r="AL761" s="45"/>
      <c r="AM761" s="45"/>
      <c r="AN761" s="45"/>
      <c r="AO761" s="45"/>
      <c r="AP761" s="45"/>
      <c r="AQ761" s="45"/>
    </row>
    <row r="762" spans="1:43" ht="15.75" customHeight="1" x14ac:dyDescent="0.15">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c r="AJ762" s="45"/>
      <c r="AK762" s="45"/>
      <c r="AL762" s="45"/>
      <c r="AM762" s="45"/>
      <c r="AN762" s="45"/>
      <c r="AO762" s="45"/>
      <c r="AP762" s="45"/>
      <c r="AQ762" s="45"/>
    </row>
    <row r="763" spans="1:43" ht="15.75" customHeight="1" x14ac:dyDescent="0.15">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c r="AJ763" s="45"/>
      <c r="AK763" s="45"/>
      <c r="AL763" s="45"/>
      <c r="AM763" s="45"/>
      <c r="AN763" s="45"/>
      <c r="AO763" s="45"/>
      <c r="AP763" s="45"/>
      <c r="AQ763" s="45"/>
    </row>
    <row r="764" spans="1:43" ht="15.75" customHeight="1" x14ac:dyDescent="0.15">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c r="AJ764" s="45"/>
      <c r="AK764" s="45"/>
      <c r="AL764" s="45"/>
      <c r="AM764" s="45"/>
      <c r="AN764" s="45"/>
      <c r="AO764" s="45"/>
      <c r="AP764" s="45"/>
      <c r="AQ764" s="45"/>
    </row>
    <row r="765" spans="1:43" ht="15.75" customHeight="1" x14ac:dyDescent="0.1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c r="AJ765" s="45"/>
      <c r="AK765" s="45"/>
      <c r="AL765" s="45"/>
      <c r="AM765" s="45"/>
      <c r="AN765" s="45"/>
      <c r="AO765" s="45"/>
      <c r="AP765" s="45"/>
      <c r="AQ765" s="45"/>
    </row>
    <row r="766" spans="1:43" ht="15.75" customHeight="1" x14ac:dyDescent="0.15">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c r="AJ766" s="45"/>
      <c r="AK766" s="45"/>
      <c r="AL766" s="45"/>
      <c r="AM766" s="45"/>
      <c r="AN766" s="45"/>
      <c r="AO766" s="45"/>
      <c r="AP766" s="45"/>
      <c r="AQ766" s="45"/>
    </row>
    <row r="767" spans="1:43" ht="15.75" customHeight="1" x14ac:dyDescent="0.15">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c r="AJ767" s="45"/>
      <c r="AK767" s="45"/>
      <c r="AL767" s="45"/>
      <c r="AM767" s="45"/>
      <c r="AN767" s="45"/>
      <c r="AO767" s="45"/>
      <c r="AP767" s="45"/>
      <c r="AQ767" s="45"/>
    </row>
    <row r="768" spans="1:43" ht="15.75" customHeight="1" x14ac:dyDescent="0.15">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c r="AJ768" s="45"/>
      <c r="AK768" s="45"/>
      <c r="AL768" s="45"/>
      <c r="AM768" s="45"/>
      <c r="AN768" s="45"/>
      <c r="AO768" s="45"/>
      <c r="AP768" s="45"/>
      <c r="AQ768" s="45"/>
    </row>
    <row r="769" spans="1:43" ht="15.75" customHeight="1" x14ac:dyDescent="0.15">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c r="AJ769" s="45"/>
      <c r="AK769" s="45"/>
      <c r="AL769" s="45"/>
      <c r="AM769" s="45"/>
      <c r="AN769" s="45"/>
      <c r="AO769" s="45"/>
      <c r="AP769" s="45"/>
      <c r="AQ769" s="45"/>
    </row>
    <row r="770" spans="1:43" ht="15.75" customHeight="1" x14ac:dyDescent="0.15">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c r="AJ770" s="45"/>
      <c r="AK770" s="45"/>
      <c r="AL770" s="45"/>
      <c r="AM770" s="45"/>
      <c r="AN770" s="45"/>
      <c r="AO770" s="45"/>
      <c r="AP770" s="45"/>
      <c r="AQ770" s="45"/>
    </row>
    <row r="771" spans="1:43" ht="15.75" customHeight="1" x14ac:dyDescent="0.15">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c r="AJ771" s="45"/>
      <c r="AK771" s="45"/>
      <c r="AL771" s="45"/>
      <c r="AM771" s="45"/>
      <c r="AN771" s="45"/>
      <c r="AO771" s="45"/>
      <c r="AP771" s="45"/>
      <c r="AQ771" s="45"/>
    </row>
    <row r="772" spans="1:43" ht="15.75" customHeight="1" x14ac:dyDescent="0.15">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c r="AJ772" s="45"/>
      <c r="AK772" s="45"/>
      <c r="AL772" s="45"/>
      <c r="AM772" s="45"/>
      <c r="AN772" s="45"/>
      <c r="AO772" s="45"/>
      <c r="AP772" s="45"/>
      <c r="AQ772" s="45"/>
    </row>
    <row r="773" spans="1:43" ht="15.75" customHeight="1" x14ac:dyDescent="0.15">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c r="AJ773" s="45"/>
      <c r="AK773" s="45"/>
      <c r="AL773" s="45"/>
      <c r="AM773" s="45"/>
      <c r="AN773" s="45"/>
      <c r="AO773" s="45"/>
      <c r="AP773" s="45"/>
      <c r="AQ773" s="45"/>
    </row>
    <row r="774" spans="1:43" ht="15.75" customHeight="1" x14ac:dyDescent="0.15">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c r="AJ774" s="45"/>
      <c r="AK774" s="45"/>
      <c r="AL774" s="45"/>
      <c r="AM774" s="45"/>
      <c r="AN774" s="45"/>
      <c r="AO774" s="45"/>
      <c r="AP774" s="45"/>
      <c r="AQ774" s="45"/>
    </row>
    <row r="775" spans="1:43" ht="15.75" customHeight="1" x14ac:dyDescent="0.1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c r="AJ775" s="45"/>
      <c r="AK775" s="45"/>
      <c r="AL775" s="45"/>
      <c r="AM775" s="45"/>
      <c r="AN775" s="45"/>
      <c r="AO775" s="45"/>
      <c r="AP775" s="45"/>
      <c r="AQ775" s="45"/>
    </row>
    <row r="776" spans="1:43" ht="15.75" customHeight="1" x14ac:dyDescent="0.15">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c r="AJ776" s="45"/>
      <c r="AK776" s="45"/>
      <c r="AL776" s="45"/>
      <c r="AM776" s="45"/>
      <c r="AN776" s="45"/>
      <c r="AO776" s="45"/>
      <c r="AP776" s="45"/>
      <c r="AQ776" s="45"/>
    </row>
    <row r="777" spans="1:43" ht="15.75" customHeight="1" x14ac:dyDescent="0.15">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row>
    <row r="778" spans="1:43" ht="15.75" customHeight="1" x14ac:dyDescent="0.15">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c r="AJ778" s="45"/>
      <c r="AK778" s="45"/>
      <c r="AL778" s="45"/>
      <c r="AM778" s="45"/>
      <c r="AN778" s="45"/>
      <c r="AO778" s="45"/>
      <c r="AP778" s="45"/>
      <c r="AQ778" s="45"/>
    </row>
    <row r="779" spans="1:43" ht="15.75" customHeight="1" x14ac:dyDescent="0.15">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c r="AJ779" s="45"/>
      <c r="AK779" s="45"/>
      <c r="AL779" s="45"/>
      <c r="AM779" s="45"/>
      <c r="AN779" s="45"/>
      <c r="AO779" s="45"/>
      <c r="AP779" s="45"/>
      <c r="AQ779" s="45"/>
    </row>
    <row r="780" spans="1:43" ht="15.75" customHeight="1" x14ac:dyDescent="0.15">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c r="AJ780" s="45"/>
      <c r="AK780" s="45"/>
      <c r="AL780" s="45"/>
      <c r="AM780" s="45"/>
      <c r="AN780" s="45"/>
      <c r="AO780" s="45"/>
      <c r="AP780" s="45"/>
      <c r="AQ780" s="45"/>
    </row>
    <row r="781" spans="1:43" ht="15.75" customHeight="1" x14ac:dyDescent="0.15">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c r="AJ781" s="45"/>
      <c r="AK781" s="45"/>
      <c r="AL781" s="45"/>
      <c r="AM781" s="45"/>
      <c r="AN781" s="45"/>
      <c r="AO781" s="45"/>
      <c r="AP781" s="45"/>
      <c r="AQ781" s="45"/>
    </row>
    <row r="782" spans="1:43" ht="15.75" customHeight="1" x14ac:dyDescent="0.15">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c r="AJ782" s="45"/>
      <c r="AK782" s="45"/>
      <c r="AL782" s="45"/>
      <c r="AM782" s="45"/>
      <c r="AN782" s="45"/>
      <c r="AO782" s="45"/>
      <c r="AP782" s="45"/>
      <c r="AQ782" s="45"/>
    </row>
    <row r="783" spans="1:43" ht="15.75" customHeight="1" x14ac:dyDescent="0.15">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c r="AJ783" s="45"/>
      <c r="AK783" s="45"/>
      <c r="AL783" s="45"/>
      <c r="AM783" s="45"/>
      <c r="AN783" s="45"/>
      <c r="AO783" s="45"/>
      <c r="AP783" s="45"/>
      <c r="AQ783" s="45"/>
    </row>
    <row r="784" spans="1:43" ht="15.75" customHeight="1" x14ac:dyDescent="0.15">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c r="AJ784" s="45"/>
      <c r="AK784" s="45"/>
      <c r="AL784" s="45"/>
      <c r="AM784" s="45"/>
      <c r="AN784" s="45"/>
      <c r="AO784" s="45"/>
      <c r="AP784" s="45"/>
      <c r="AQ784" s="45"/>
    </row>
    <row r="785" spans="1:43" ht="15.75" customHeight="1" x14ac:dyDescent="0.1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c r="AJ785" s="45"/>
      <c r="AK785" s="45"/>
      <c r="AL785" s="45"/>
      <c r="AM785" s="45"/>
      <c r="AN785" s="45"/>
      <c r="AO785" s="45"/>
      <c r="AP785" s="45"/>
      <c r="AQ785" s="45"/>
    </row>
    <row r="786" spans="1:43" ht="15.75" customHeight="1" x14ac:dyDescent="0.15">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c r="AJ786" s="45"/>
      <c r="AK786" s="45"/>
      <c r="AL786" s="45"/>
      <c r="AM786" s="45"/>
      <c r="AN786" s="45"/>
      <c r="AO786" s="45"/>
      <c r="AP786" s="45"/>
      <c r="AQ786" s="45"/>
    </row>
    <row r="787" spans="1:43" ht="15.75" customHeight="1" x14ac:dyDescent="0.15">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c r="AJ787" s="45"/>
      <c r="AK787" s="45"/>
      <c r="AL787" s="45"/>
      <c r="AM787" s="45"/>
      <c r="AN787" s="45"/>
      <c r="AO787" s="45"/>
      <c r="AP787" s="45"/>
      <c r="AQ787" s="45"/>
    </row>
    <row r="788" spans="1:43" ht="15.75" customHeight="1" x14ac:dyDescent="0.15">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c r="AJ788" s="45"/>
      <c r="AK788" s="45"/>
      <c r="AL788" s="45"/>
      <c r="AM788" s="45"/>
      <c r="AN788" s="45"/>
      <c r="AO788" s="45"/>
      <c r="AP788" s="45"/>
      <c r="AQ788" s="45"/>
    </row>
    <row r="789" spans="1:43" ht="15.75" customHeight="1" x14ac:dyDescent="0.15">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c r="AJ789" s="45"/>
      <c r="AK789" s="45"/>
      <c r="AL789" s="45"/>
      <c r="AM789" s="45"/>
      <c r="AN789" s="45"/>
      <c r="AO789" s="45"/>
      <c r="AP789" s="45"/>
      <c r="AQ789" s="45"/>
    </row>
    <row r="790" spans="1:43" ht="15.75" customHeight="1" x14ac:dyDescent="0.15">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c r="AJ790" s="45"/>
      <c r="AK790" s="45"/>
      <c r="AL790" s="45"/>
      <c r="AM790" s="45"/>
      <c r="AN790" s="45"/>
      <c r="AO790" s="45"/>
      <c r="AP790" s="45"/>
      <c r="AQ790" s="45"/>
    </row>
    <row r="791" spans="1:43" ht="15.75" customHeight="1" x14ac:dyDescent="0.15">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c r="AJ791" s="45"/>
      <c r="AK791" s="45"/>
      <c r="AL791" s="45"/>
      <c r="AM791" s="45"/>
      <c r="AN791" s="45"/>
      <c r="AO791" s="45"/>
      <c r="AP791" s="45"/>
      <c r="AQ791" s="45"/>
    </row>
    <row r="792" spans="1:43" ht="15.75" customHeight="1" x14ac:dyDescent="0.15">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c r="AJ792" s="45"/>
      <c r="AK792" s="45"/>
      <c r="AL792" s="45"/>
      <c r="AM792" s="45"/>
      <c r="AN792" s="45"/>
      <c r="AO792" s="45"/>
      <c r="AP792" s="45"/>
      <c r="AQ792" s="45"/>
    </row>
    <row r="793" spans="1:43" ht="15.75" customHeight="1" x14ac:dyDescent="0.15">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c r="AJ793" s="45"/>
      <c r="AK793" s="45"/>
      <c r="AL793" s="45"/>
      <c r="AM793" s="45"/>
      <c r="AN793" s="45"/>
      <c r="AO793" s="45"/>
      <c r="AP793" s="45"/>
      <c r="AQ793" s="45"/>
    </row>
    <row r="794" spans="1:43" ht="15.75" customHeight="1" x14ac:dyDescent="0.15">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c r="AJ794" s="45"/>
      <c r="AK794" s="45"/>
      <c r="AL794" s="45"/>
      <c r="AM794" s="45"/>
      <c r="AN794" s="45"/>
      <c r="AO794" s="45"/>
      <c r="AP794" s="45"/>
      <c r="AQ794" s="45"/>
    </row>
    <row r="795" spans="1:43" ht="15.75" customHeight="1" x14ac:dyDescent="0.1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c r="AJ795" s="45"/>
      <c r="AK795" s="45"/>
      <c r="AL795" s="45"/>
      <c r="AM795" s="45"/>
      <c r="AN795" s="45"/>
      <c r="AO795" s="45"/>
      <c r="AP795" s="45"/>
      <c r="AQ795" s="45"/>
    </row>
    <row r="796" spans="1:43" ht="15.75" customHeight="1" x14ac:dyDescent="0.15">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c r="AJ796" s="45"/>
      <c r="AK796" s="45"/>
      <c r="AL796" s="45"/>
      <c r="AM796" s="45"/>
      <c r="AN796" s="45"/>
      <c r="AO796" s="45"/>
      <c r="AP796" s="45"/>
      <c r="AQ796" s="45"/>
    </row>
    <row r="797" spans="1:43" ht="15.75" customHeight="1" x14ac:dyDescent="0.15">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c r="AJ797" s="45"/>
      <c r="AK797" s="45"/>
      <c r="AL797" s="45"/>
      <c r="AM797" s="45"/>
      <c r="AN797" s="45"/>
      <c r="AO797" s="45"/>
      <c r="AP797" s="45"/>
      <c r="AQ797" s="45"/>
    </row>
    <row r="798" spans="1:43" ht="15.75" customHeight="1" x14ac:dyDescent="0.15">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c r="AJ798" s="45"/>
      <c r="AK798" s="45"/>
      <c r="AL798" s="45"/>
      <c r="AM798" s="45"/>
      <c r="AN798" s="45"/>
      <c r="AO798" s="45"/>
      <c r="AP798" s="45"/>
      <c r="AQ798" s="45"/>
    </row>
    <row r="799" spans="1:43" ht="15.75" customHeight="1" x14ac:dyDescent="0.15">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c r="AJ799" s="45"/>
      <c r="AK799" s="45"/>
      <c r="AL799" s="45"/>
      <c r="AM799" s="45"/>
      <c r="AN799" s="45"/>
      <c r="AO799" s="45"/>
      <c r="AP799" s="45"/>
      <c r="AQ799" s="45"/>
    </row>
    <row r="800" spans="1:43" ht="15.75" customHeight="1" x14ac:dyDescent="0.15">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c r="AJ800" s="45"/>
      <c r="AK800" s="45"/>
      <c r="AL800" s="45"/>
      <c r="AM800" s="45"/>
      <c r="AN800" s="45"/>
      <c r="AO800" s="45"/>
      <c r="AP800" s="45"/>
      <c r="AQ800" s="45"/>
    </row>
    <row r="801" spans="1:43" ht="15.75" customHeight="1" x14ac:dyDescent="0.15">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c r="AJ801" s="45"/>
      <c r="AK801" s="45"/>
      <c r="AL801" s="45"/>
      <c r="AM801" s="45"/>
      <c r="AN801" s="45"/>
      <c r="AO801" s="45"/>
      <c r="AP801" s="45"/>
      <c r="AQ801" s="45"/>
    </row>
    <row r="802" spans="1:43" ht="15.75" customHeight="1" x14ac:dyDescent="0.15">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c r="AJ802" s="45"/>
      <c r="AK802" s="45"/>
      <c r="AL802" s="45"/>
      <c r="AM802" s="45"/>
      <c r="AN802" s="45"/>
      <c r="AO802" s="45"/>
      <c r="AP802" s="45"/>
      <c r="AQ802" s="45"/>
    </row>
    <row r="803" spans="1:43" ht="15.75" customHeight="1" x14ac:dyDescent="0.15">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c r="AJ803" s="45"/>
      <c r="AK803" s="45"/>
      <c r="AL803" s="45"/>
      <c r="AM803" s="45"/>
      <c r="AN803" s="45"/>
      <c r="AO803" s="45"/>
      <c r="AP803" s="45"/>
      <c r="AQ803" s="45"/>
    </row>
    <row r="804" spans="1:43" ht="15.75" customHeight="1" x14ac:dyDescent="0.15">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c r="AJ804" s="45"/>
      <c r="AK804" s="45"/>
      <c r="AL804" s="45"/>
      <c r="AM804" s="45"/>
      <c r="AN804" s="45"/>
      <c r="AO804" s="45"/>
      <c r="AP804" s="45"/>
      <c r="AQ804" s="45"/>
    </row>
    <row r="805" spans="1:43" ht="15.75" customHeight="1" x14ac:dyDescent="0.1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c r="AJ805" s="45"/>
      <c r="AK805" s="45"/>
      <c r="AL805" s="45"/>
      <c r="AM805" s="45"/>
      <c r="AN805" s="45"/>
      <c r="AO805" s="45"/>
      <c r="AP805" s="45"/>
      <c r="AQ805" s="45"/>
    </row>
    <row r="806" spans="1:43" ht="15.75" customHeight="1" x14ac:dyDescent="0.15">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c r="AJ806" s="45"/>
      <c r="AK806" s="45"/>
      <c r="AL806" s="45"/>
      <c r="AM806" s="45"/>
      <c r="AN806" s="45"/>
      <c r="AO806" s="45"/>
      <c r="AP806" s="45"/>
      <c r="AQ806" s="45"/>
    </row>
    <row r="807" spans="1:43" ht="15.75" customHeight="1" x14ac:dyDescent="0.15">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c r="AJ807" s="45"/>
      <c r="AK807" s="45"/>
      <c r="AL807" s="45"/>
      <c r="AM807" s="45"/>
      <c r="AN807" s="45"/>
      <c r="AO807" s="45"/>
      <c r="AP807" s="45"/>
      <c r="AQ807" s="45"/>
    </row>
    <row r="808" spans="1:43" ht="15.75" customHeight="1" x14ac:dyDescent="0.15">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c r="AJ808" s="45"/>
      <c r="AK808" s="45"/>
      <c r="AL808" s="45"/>
      <c r="AM808" s="45"/>
      <c r="AN808" s="45"/>
      <c r="AO808" s="45"/>
      <c r="AP808" s="45"/>
      <c r="AQ808" s="45"/>
    </row>
    <row r="809" spans="1:43" ht="15.75" customHeight="1" x14ac:dyDescent="0.15">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c r="AJ809" s="45"/>
      <c r="AK809" s="45"/>
      <c r="AL809" s="45"/>
      <c r="AM809" s="45"/>
      <c r="AN809" s="45"/>
      <c r="AO809" s="45"/>
      <c r="AP809" s="45"/>
      <c r="AQ809" s="45"/>
    </row>
    <row r="810" spans="1:43" ht="15.75" customHeight="1" x14ac:dyDescent="0.15">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c r="AJ810" s="45"/>
      <c r="AK810" s="45"/>
      <c r="AL810" s="45"/>
      <c r="AM810" s="45"/>
      <c r="AN810" s="45"/>
      <c r="AO810" s="45"/>
      <c r="AP810" s="45"/>
      <c r="AQ810" s="45"/>
    </row>
    <row r="811" spans="1:43" ht="15.75" customHeight="1" x14ac:dyDescent="0.15">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c r="AJ811" s="45"/>
      <c r="AK811" s="45"/>
      <c r="AL811" s="45"/>
      <c r="AM811" s="45"/>
      <c r="AN811" s="45"/>
      <c r="AO811" s="45"/>
      <c r="AP811" s="45"/>
      <c r="AQ811" s="45"/>
    </row>
    <row r="812" spans="1:43" ht="15.75" customHeight="1" x14ac:dyDescent="0.15">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c r="AJ812" s="45"/>
      <c r="AK812" s="45"/>
      <c r="AL812" s="45"/>
      <c r="AM812" s="45"/>
      <c r="AN812" s="45"/>
      <c r="AO812" s="45"/>
      <c r="AP812" s="45"/>
      <c r="AQ812" s="45"/>
    </row>
    <row r="813" spans="1:43" ht="15.75" customHeight="1" x14ac:dyDescent="0.15">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c r="AJ813" s="45"/>
      <c r="AK813" s="45"/>
      <c r="AL813" s="45"/>
      <c r="AM813" s="45"/>
      <c r="AN813" s="45"/>
      <c r="AO813" s="45"/>
      <c r="AP813" s="45"/>
      <c r="AQ813" s="45"/>
    </row>
    <row r="814" spans="1:43" ht="15.75" customHeight="1" x14ac:dyDescent="0.15">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c r="AJ814" s="45"/>
      <c r="AK814" s="45"/>
      <c r="AL814" s="45"/>
      <c r="AM814" s="45"/>
      <c r="AN814" s="45"/>
      <c r="AO814" s="45"/>
      <c r="AP814" s="45"/>
      <c r="AQ814" s="45"/>
    </row>
    <row r="815" spans="1:43" ht="15.75" customHeight="1" x14ac:dyDescent="0.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c r="AJ815" s="45"/>
      <c r="AK815" s="45"/>
      <c r="AL815" s="45"/>
      <c r="AM815" s="45"/>
      <c r="AN815" s="45"/>
      <c r="AO815" s="45"/>
      <c r="AP815" s="45"/>
      <c r="AQ815" s="45"/>
    </row>
    <row r="816" spans="1:43" ht="15.75" customHeight="1" x14ac:dyDescent="0.15">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c r="AJ816" s="45"/>
      <c r="AK816" s="45"/>
      <c r="AL816" s="45"/>
      <c r="AM816" s="45"/>
      <c r="AN816" s="45"/>
      <c r="AO816" s="45"/>
      <c r="AP816" s="45"/>
      <c r="AQ816" s="45"/>
    </row>
    <row r="817" spans="1:43" ht="15.75" customHeight="1" x14ac:dyDescent="0.15">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c r="AJ817" s="45"/>
      <c r="AK817" s="45"/>
      <c r="AL817" s="45"/>
      <c r="AM817" s="45"/>
      <c r="AN817" s="45"/>
      <c r="AO817" s="45"/>
      <c r="AP817" s="45"/>
      <c r="AQ817" s="45"/>
    </row>
    <row r="818" spans="1:43" ht="15.75" customHeight="1" x14ac:dyDescent="0.15">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c r="AJ818" s="45"/>
      <c r="AK818" s="45"/>
      <c r="AL818" s="45"/>
      <c r="AM818" s="45"/>
      <c r="AN818" s="45"/>
      <c r="AO818" s="45"/>
      <c r="AP818" s="45"/>
      <c r="AQ818" s="45"/>
    </row>
    <row r="819" spans="1:43" ht="15.75" customHeight="1" x14ac:dyDescent="0.15">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c r="AJ819" s="45"/>
      <c r="AK819" s="45"/>
      <c r="AL819" s="45"/>
      <c r="AM819" s="45"/>
      <c r="AN819" s="45"/>
      <c r="AO819" s="45"/>
      <c r="AP819" s="45"/>
      <c r="AQ819" s="45"/>
    </row>
    <row r="820" spans="1:43" ht="15.75" customHeight="1" x14ac:dyDescent="0.15">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c r="AJ820" s="45"/>
      <c r="AK820" s="45"/>
      <c r="AL820" s="45"/>
      <c r="AM820" s="45"/>
      <c r="AN820" s="45"/>
      <c r="AO820" s="45"/>
      <c r="AP820" s="45"/>
      <c r="AQ820" s="45"/>
    </row>
    <row r="821" spans="1:43" ht="15.75" customHeight="1" x14ac:dyDescent="0.15">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c r="AJ821" s="45"/>
      <c r="AK821" s="45"/>
      <c r="AL821" s="45"/>
      <c r="AM821" s="45"/>
      <c r="AN821" s="45"/>
      <c r="AO821" s="45"/>
      <c r="AP821" s="45"/>
      <c r="AQ821" s="45"/>
    </row>
    <row r="822" spans="1:43" ht="15.75" customHeight="1" x14ac:dyDescent="0.15">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c r="AJ822" s="45"/>
      <c r="AK822" s="45"/>
      <c r="AL822" s="45"/>
      <c r="AM822" s="45"/>
      <c r="AN822" s="45"/>
      <c r="AO822" s="45"/>
      <c r="AP822" s="45"/>
      <c r="AQ822" s="45"/>
    </row>
    <row r="823" spans="1:43" ht="15.75" customHeight="1" x14ac:dyDescent="0.15">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c r="AJ823" s="45"/>
      <c r="AK823" s="45"/>
      <c r="AL823" s="45"/>
      <c r="AM823" s="45"/>
      <c r="AN823" s="45"/>
      <c r="AO823" s="45"/>
      <c r="AP823" s="45"/>
      <c r="AQ823" s="45"/>
    </row>
    <row r="824" spans="1:43" ht="15.75" customHeight="1" x14ac:dyDescent="0.15">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c r="AJ824" s="45"/>
      <c r="AK824" s="45"/>
      <c r="AL824" s="45"/>
      <c r="AM824" s="45"/>
      <c r="AN824" s="45"/>
      <c r="AO824" s="45"/>
      <c r="AP824" s="45"/>
      <c r="AQ824" s="45"/>
    </row>
    <row r="825" spans="1:43" ht="15.75" customHeight="1" x14ac:dyDescent="0.1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c r="AJ825" s="45"/>
      <c r="AK825" s="45"/>
      <c r="AL825" s="45"/>
      <c r="AM825" s="45"/>
      <c r="AN825" s="45"/>
      <c r="AO825" s="45"/>
      <c r="AP825" s="45"/>
      <c r="AQ825" s="45"/>
    </row>
    <row r="826" spans="1:43" ht="15.75" customHeight="1" x14ac:dyDescent="0.15">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c r="AJ826" s="45"/>
      <c r="AK826" s="45"/>
      <c r="AL826" s="45"/>
      <c r="AM826" s="45"/>
      <c r="AN826" s="45"/>
      <c r="AO826" s="45"/>
      <c r="AP826" s="45"/>
      <c r="AQ826" s="45"/>
    </row>
    <row r="827" spans="1:43" ht="15.75" customHeight="1" x14ac:dyDescent="0.15">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c r="AJ827" s="45"/>
      <c r="AK827" s="45"/>
      <c r="AL827" s="45"/>
      <c r="AM827" s="45"/>
      <c r="AN827" s="45"/>
      <c r="AO827" s="45"/>
      <c r="AP827" s="45"/>
      <c r="AQ827" s="45"/>
    </row>
    <row r="828" spans="1:43" ht="15.75" customHeight="1" x14ac:dyDescent="0.15">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c r="AJ828" s="45"/>
      <c r="AK828" s="45"/>
      <c r="AL828" s="45"/>
      <c r="AM828" s="45"/>
      <c r="AN828" s="45"/>
      <c r="AO828" s="45"/>
      <c r="AP828" s="45"/>
      <c r="AQ828" s="45"/>
    </row>
    <row r="829" spans="1:43" ht="15.75" customHeight="1" x14ac:dyDescent="0.15">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c r="AJ829" s="45"/>
      <c r="AK829" s="45"/>
      <c r="AL829" s="45"/>
      <c r="AM829" s="45"/>
      <c r="AN829" s="45"/>
      <c r="AO829" s="45"/>
      <c r="AP829" s="45"/>
      <c r="AQ829" s="45"/>
    </row>
    <row r="830" spans="1:43" ht="15.75" customHeight="1" x14ac:dyDescent="0.15">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c r="AJ830" s="45"/>
      <c r="AK830" s="45"/>
      <c r="AL830" s="45"/>
      <c r="AM830" s="45"/>
      <c r="AN830" s="45"/>
      <c r="AO830" s="45"/>
      <c r="AP830" s="45"/>
      <c r="AQ830" s="45"/>
    </row>
    <row r="831" spans="1:43" ht="15.75" customHeight="1" x14ac:dyDescent="0.15">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c r="AJ831" s="45"/>
      <c r="AK831" s="45"/>
      <c r="AL831" s="45"/>
      <c r="AM831" s="45"/>
      <c r="AN831" s="45"/>
      <c r="AO831" s="45"/>
      <c r="AP831" s="45"/>
      <c r="AQ831" s="45"/>
    </row>
    <row r="832" spans="1:43" ht="15.75" customHeight="1" x14ac:dyDescent="0.15">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c r="AJ832" s="45"/>
      <c r="AK832" s="45"/>
      <c r="AL832" s="45"/>
      <c r="AM832" s="45"/>
      <c r="AN832" s="45"/>
      <c r="AO832" s="45"/>
      <c r="AP832" s="45"/>
      <c r="AQ832" s="45"/>
    </row>
    <row r="833" spans="1:43" ht="15.75" customHeight="1" x14ac:dyDescent="0.15">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c r="AJ833" s="45"/>
      <c r="AK833" s="45"/>
      <c r="AL833" s="45"/>
      <c r="AM833" s="45"/>
      <c r="AN833" s="45"/>
      <c r="AO833" s="45"/>
      <c r="AP833" s="45"/>
      <c r="AQ833" s="45"/>
    </row>
    <row r="834" spans="1:43" ht="15.75" customHeight="1" x14ac:dyDescent="0.15">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c r="AJ834" s="45"/>
      <c r="AK834" s="45"/>
      <c r="AL834" s="45"/>
      <c r="AM834" s="45"/>
      <c r="AN834" s="45"/>
      <c r="AO834" s="45"/>
      <c r="AP834" s="45"/>
      <c r="AQ834" s="45"/>
    </row>
    <row r="835" spans="1:43" ht="15.75" customHeight="1" x14ac:dyDescent="0.1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c r="AJ835" s="45"/>
      <c r="AK835" s="45"/>
      <c r="AL835" s="45"/>
      <c r="AM835" s="45"/>
      <c r="AN835" s="45"/>
      <c r="AO835" s="45"/>
      <c r="AP835" s="45"/>
      <c r="AQ835" s="45"/>
    </row>
    <row r="836" spans="1:43" ht="15.75" customHeight="1" x14ac:dyDescent="0.15">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c r="AJ836" s="45"/>
      <c r="AK836" s="45"/>
      <c r="AL836" s="45"/>
      <c r="AM836" s="45"/>
      <c r="AN836" s="45"/>
      <c r="AO836" s="45"/>
      <c r="AP836" s="45"/>
      <c r="AQ836" s="45"/>
    </row>
    <row r="837" spans="1:43" ht="15.75" customHeight="1" x14ac:dyDescent="0.15">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c r="AJ837" s="45"/>
      <c r="AK837" s="45"/>
      <c r="AL837" s="45"/>
      <c r="AM837" s="45"/>
      <c r="AN837" s="45"/>
      <c r="AO837" s="45"/>
      <c r="AP837" s="45"/>
      <c r="AQ837" s="45"/>
    </row>
    <row r="838" spans="1:43" ht="15.75" customHeight="1" x14ac:dyDescent="0.15">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c r="AJ838" s="45"/>
      <c r="AK838" s="45"/>
      <c r="AL838" s="45"/>
      <c r="AM838" s="45"/>
      <c r="AN838" s="45"/>
      <c r="AO838" s="45"/>
      <c r="AP838" s="45"/>
      <c r="AQ838" s="45"/>
    </row>
    <row r="839" spans="1:43" ht="15.75" customHeight="1" x14ac:dyDescent="0.15">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c r="AJ839" s="45"/>
      <c r="AK839" s="45"/>
      <c r="AL839" s="45"/>
      <c r="AM839" s="45"/>
      <c r="AN839" s="45"/>
      <c r="AO839" s="45"/>
      <c r="AP839" s="45"/>
      <c r="AQ839" s="45"/>
    </row>
    <row r="840" spans="1:43" ht="15.75" customHeight="1" x14ac:dyDescent="0.15">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c r="AJ840" s="45"/>
      <c r="AK840" s="45"/>
      <c r="AL840" s="45"/>
      <c r="AM840" s="45"/>
      <c r="AN840" s="45"/>
      <c r="AO840" s="45"/>
      <c r="AP840" s="45"/>
      <c r="AQ840" s="45"/>
    </row>
    <row r="841" spans="1:43" ht="15.75" customHeight="1" x14ac:dyDescent="0.15">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c r="AJ841" s="45"/>
      <c r="AK841" s="45"/>
      <c r="AL841" s="45"/>
      <c r="AM841" s="45"/>
      <c r="AN841" s="45"/>
      <c r="AO841" s="45"/>
      <c r="AP841" s="45"/>
      <c r="AQ841" s="45"/>
    </row>
    <row r="842" spans="1:43" ht="15.75" customHeight="1" x14ac:dyDescent="0.15">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c r="AJ842" s="45"/>
      <c r="AK842" s="45"/>
      <c r="AL842" s="45"/>
      <c r="AM842" s="45"/>
      <c r="AN842" s="45"/>
      <c r="AO842" s="45"/>
      <c r="AP842" s="45"/>
      <c r="AQ842" s="45"/>
    </row>
    <row r="843" spans="1:43" ht="15.75" customHeight="1" x14ac:dyDescent="0.15">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c r="AJ843" s="45"/>
      <c r="AK843" s="45"/>
      <c r="AL843" s="45"/>
      <c r="AM843" s="45"/>
      <c r="AN843" s="45"/>
      <c r="AO843" s="45"/>
      <c r="AP843" s="45"/>
      <c r="AQ843" s="45"/>
    </row>
    <row r="844" spans="1:43" ht="15.75" customHeight="1" x14ac:dyDescent="0.15">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c r="AJ844" s="45"/>
      <c r="AK844" s="45"/>
      <c r="AL844" s="45"/>
      <c r="AM844" s="45"/>
      <c r="AN844" s="45"/>
      <c r="AO844" s="45"/>
      <c r="AP844" s="45"/>
      <c r="AQ844" s="45"/>
    </row>
    <row r="845" spans="1:43" ht="15.75" customHeight="1" x14ac:dyDescent="0.1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c r="AJ845" s="45"/>
      <c r="AK845" s="45"/>
      <c r="AL845" s="45"/>
      <c r="AM845" s="45"/>
      <c r="AN845" s="45"/>
      <c r="AO845" s="45"/>
      <c r="AP845" s="45"/>
      <c r="AQ845" s="45"/>
    </row>
    <row r="846" spans="1:43" ht="15.75" customHeight="1" x14ac:dyDescent="0.15">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c r="AJ846" s="45"/>
      <c r="AK846" s="45"/>
      <c r="AL846" s="45"/>
      <c r="AM846" s="45"/>
      <c r="AN846" s="45"/>
      <c r="AO846" s="45"/>
      <c r="AP846" s="45"/>
      <c r="AQ846" s="45"/>
    </row>
    <row r="847" spans="1:43" ht="15.75" customHeight="1" x14ac:dyDescent="0.15">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c r="AJ847" s="45"/>
      <c r="AK847" s="45"/>
      <c r="AL847" s="45"/>
      <c r="AM847" s="45"/>
      <c r="AN847" s="45"/>
      <c r="AO847" s="45"/>
      <c r="AP847" s="45"/>
      <c r="AQ847" s="45"/>
    </row>
    <row r="848" spans="1:43" ht="15.75" customHeight="1" x14ac:dyDescent="0.15">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c r="AJ848" s="45"/>
      <c r="AK848" s="45"/>
      <c r="AL848" s="45"/>
      <c r="AM848" s="45"/>
      <c r="AN848" s="45"/>
      <c r="AO848" s="45"/>
      <c r="AP848" s="45"/>
      <c r="AQ848" s="45"/>
    </row>
    <row r="849" spans="1:43" ht="15.75" customHeight="1" x14ac:dyDescent="0.15">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c r="AP849" s="45"/>
      <c r="AQ849" s="45"/>
    </row>
    <row r="850" spans="1:43" ht="15.75" customHeight="1" x14ac:dyDescent="0.15">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c r="AJ850" s="45"/>
      <c r="AK850" s="45"/>
      <c r="AL850" s="45"/>
      <c r="AM850" s="45"/>
      <c r="AN850" s="45"/>
      <c r="AO850" s="45"/>
      <c r="AP850" s="45"/>
      <c r="AQ850" s="45"/>
    </row>
    <row r="851" spans="1:43" ht="15.75" customHeight="1" x14ac:dyDescent="0.15">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c r="AJ851" s="45"/>
      <c r="AK851" s="45"/>
      <c r="AL851" s="45"/>
      <c r="AM851" s="45"/>
      <c r="AN851" s="45"/>
      <c r="AO851" s="45"/>
      <c r="AP851" s="45"/>
      <c r="AQ851" s="45"/>
    </row>
    <row r="852" spans="1:43" ht="15.75" customHeight="1" x14ac:dyDescent="0.15">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c r="AJ852" s="45"/>
      <c r="AK852" s="45"/>
      <c r="AL852" s="45"/>
      <c r="AM852" s="45"/>
      <c r="AN852" s="45"/>
      <c r="AO852" s="45"/>
      <c r="AP852" s="45"/>
      <c r="AQ852" s="45"/>
    </row>
    <row r="853" spans="1:43" ht="15.75" customHeight="1" x14ac:dyDescent="0.15">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c r="AJ853" s="45"/>
      <c r="AK853" s="45"/>
      <c r="AL853" s="45"/>
      <c r="AM853" s="45"/>
      <c r="AN853" s="45"/>
      <c r="AO853" s="45"/>
      <c r="AP853" s="45"/>
      <c r="AQ853" s="45"/>
    </row>
    <row r="854" spans="1:43" ht="15.75" customHeight="1" x14ac:dyDescent="0.15">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c r="AJ854" s="45"/>
      <c r="AK854" s="45"/>
      <c r="AL854" s="45"/>
      <c r="AM854" s="45"/>
      <c r="AN854" s="45"/>
      <c r="AO854" s="45"/>
      <c r="AP854" s="45"/>
      <c r="AQ854" s="45"/>
    </row>
    <row r="855" spans="1:43" ht="15.75" customHeight="1" x14ac:dyDescent="0.1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c r="AJ855" s="45"/>
      <c r="AK855" s="45"/>
      <c r="AL855" s="45"/>
      <c r="AM855" s="45"/>
      <c r="AN855" s="45"/>
      <c r="AO855" s="45"/>
      <c r="AP855" s="45"/>
      <c r="AQ855" s="45"/>
    </row>
    <row r="856" spans="1:43" ht="15.75" customHeight="1" x14ac:dyDescent="0.15">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c r="AJ856" s="45"/>
      <c r="AK856" s="45"/>
      <c r="AL856" s="45"/>
      <c r="AM856" s="45"/>
      <c r="AN856" s="45"/>
      <c r="AO856" s="45"/>
      <c r="AP856" s="45"/>
      <c r="AQ856" s="45"/>
    </row>
    <row r="857" spans="1:43" ht="15.75" customHeight="1" x14ac:dyDescent="0.15">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c r="AJ857" s="45"/>
      <c r="AK857" s="45"/>
      <c r="AL857" s="45"/>
      <c r="AM857" s="45"/>
      <c r="AN857" s="45"/>
      <c r="AO857" s="45"/>
      <c r="AP857" s="45"/>
      <c r="AQ857" s="45"/>
    </row>
    <row r="858" spans="1:43" ht="15.75" customHeight="1" x14ac:dyDescent="0.15">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c r="AJ858" s="45"/>
      <c r="AK858" s="45"/>
      <c r="AL858" s="45"/>
      <c r="AM858" s="45"/>
      <c r="AN858" s="45"/>
      <c r="AO858" s="45"/>
      <c r="AP858" s="45"/>
      <c r="AQ858" s="45"/>
    </row>
    <row r="859" spans="1:43" ht="15.75" customHeight="1" x14ac:dyDescent="0.15">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c r="AJ859" s="45"/>
      <c r="AK859" s="45"/>
      <c r="AL859" s="45"/>
      <c r="AM859" s="45"/>
      <c r="AN859" s="45"/>
      <c r="AO859" s="45"/>
      <c r="AP859" s="45"/>
      <c r="AQ859" s="45"/>
    </row>
    <row r="860" spans="1:43" ht="15.75" customHeight="1" x14ac:dyDescent="0.15">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c r="AJ860" s="45"/>
      <c r="AK860" s="45"/>
      <c r="AL860" s="45"/>
      <c r="AM860" s="45"/>
      <c r="AN860" s="45"/>
      <c r="AO860" s="45"/>
      <c r="AP860" s="45"/>
      <c r="AQ860" s="45"/>
    </row>
    <row r="861" spans="1:43" ht="15.75" customHeight="1" x14ac:dyDescent="0.15">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c r="AJ861" s="45"/>
      <c r="AK861" s="45"/>
      <c r="AL861" s="45"/>
      <c r="AM861" s="45"/>
      <c r="AN861" s="45"/>
      <c r="AO861" s="45"/>
      <c r="AP861" s="45"/>
      <c r="AQ861" s="45"/>
    </row>
    <row r="862" spans="1:43" ht="15.75" customHeight="1" x14ac:dyDescent="0.15">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c r="AJ862" s="45"/>
      <c r="AK862" s="45"/>
      <c r="AL862" s="45"/>
      <c r="AM862" s="45"/>
      <c r="AN862" s="45"/>
      <c r="AO862" s="45"/>
      <c r="AP862" s="45"/>
      <c r="AQ862" s="45"/>
    </row>
    <row r="863" spans="1:43" ht="15.75" customHeight="1" x14ac:dyDescent="0.15">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c r="AJ863" s="45"/>
      <c r="AK863" s="45"/>
      <c r="AL863" s="45"/>
      <c r="AM863" s="45"/>
      <c r="AN863" s="45"/>
      <c r="AO863" s="45"/>
      <c r="AP863" s="45"/>
      <c r="AQ863" s="45"/>
    </row>
    <row r="864" spans="1:43" ht="15.75" customHeight="1" x14ac:dyDescent="0.15">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c r="AJ864" s="45"/>
      <c r="AK864" s="45"/>
      <c r="AL864" s="45"/>
      <c r="AM864" s="45"/>
      <c r="AN864" s="45"/>
      <c r="AO864" s="45"/>
      <c r="AP864" s="45"/>
      <c r="AQ864" s="45"/>
    </row>
    <row r="865" spans="1:43" ht="15.75" customHeight="1" x14ac:dyDescent="0.1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c r="AJ865" s="45"/>
      <c r="AK865" s="45"/>
      <c r="AL865" s="45"/>
      <c r="AM865" s="45"/>
      <c r="AN865" s="45"/>
      <c r="AO865" s="45"/>
      <c r="AP865" s="45"/>
      <c r="AQ865" s="45"/>
    </row>
    <row r="866" spans="1:43" ht="15.75" customHeight="1" x14ac:dyDescent="0.15">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c r="AJ866" s="45"/>
      <c r="AK866" s="45"/>
      <c r="AL866" s="45"/>
      <c r="AM866" s="45"/>
      <c r="AN866" s="45"/>
      <c r="AO866" s="45"/>
      <c r="AP866" s="45"/>
      <c r="AQ866" s="45"/>
    </row>
    <row r="867" spans="1:43" ht="15.75" customHeight="1" x14ac:dyDescent="0.15">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c r="AJ867" s="45"/>
      <c r="AK867" s="45"/>
      <c r="AL867" s="45"/>
      <c r="AM867" s="45"/>
      <c r="AN867" s="45"/>
      <c r="AO867" s="45"/>
      <c r="AP867" s="45"/>
      <c r="AQ867" s="45"/>
    </row>
    <row r="868" spans="1:43" ht="15.75" customHeight="1" x14ac:dyDescent="0.15">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c r="AJ868" s="45"/>
      <c r="AK868" s="45"/>
      <c r="AL868" s="45"/>
      <c r="AM868" s="45"/>
      <c r="AN868" s="45"/>
      <c r="AO868" s="45"/>
      <c r="AP868" s="45"/>
      <c r="AQ868" s="45"/>
    </row>
    <row r="869" spans="1:43" ht="15.75" customHeight="1" x14ac:dyDescent="0.15">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c r="AJ869" s="45"/>
      <c r="AK869" s="45"/>
      <c r="AL869" s="45"/>
      <c r="AM869" s="45"/>
      <c r="AN869" s="45"/>
      <c r="AO869" s="45"/>
      <c r="AP869" s="45"/>
      <c r="AQ869" s="45"/>
    </row>
    <row r="870" spans="1:43" ht="15.75" customHeight="1" x14ac:dyDescent="0.15">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c r="AJ870" s="45"/>
      <c r="AK870" s="45"/>
      <c r="AL870" s="45"/>
      <c r="AM870" s="45"/>
      <c r="AN870" s="45"/>
      <c r="AO870" s="45"/>
      <c r="AP870" s="45"/>
      <c r="AQ870" s="45"/>
    </row>
    <row r="871" spans="1:43" ht="15.75" customHeight="1" x14ac:dyDescent="0.15">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c r="AJ871" s="45"/>
      <c r="AK871" s="45"/>
      <c r="AL871" s="45"/>
      <c r="AM871" s="45"/>
      <c r="AN871" s="45"/>
      <c r="AO871" s="45"/>
      <c r="AP871" s="45"/>
      <c r="AQ871" s="45"/>
    </row>
    <row r="872" spans="1:43" ht="15.75" customHeight="1" x14ac:dyDescent="0.15">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c r="AJ872" s="45"/>
      <c r="AK872" s="45"/>
      <c r="AL872" s="45"/>
      <c r="AM872" s="45"/>
      <c r="AN872" s="45"/>
      <c r="AO872" s="45"/>
      <c r="AP872" s="45"/>
      <c r="AQ872" s="45"/>
    </row>
    <row r="873" spans="1:43" ht="15.75" customHeight="1" x14ac:dyDescent="0.15">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c r="AJ873" s="45"/>
      <c r="AK873" s="45"/>
      <c r="AL873" s="45"/>
      <c r="AM873" s="45"/>
      <c r="AN873" s="45"/>
      <c r="AO873" s="45"/>
      <c r="AP873" s="45"/>
      <c r="AQ873" s="45"/>
    </row>
    <row r="874" spans="1:43" ht="15.75" customHeight="1" x14ac:dyDescent="0.15">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c r="AJ874" s="45"/>
      <c r="AK874" s="45"/>
      <c r="AL874" s="45"/>
      <c r="AM874" s="45"/>
      <c r="AN874" s="45"/>
      <c r="AO874" s="45"/>
      <c r="AP874" s="45"/>
      <c r="AQ874" s="45"/>
    </row>
    <row r="875" spans="1:43" ht="15.75" customHeight="1" x14ac:dyDescent="0.1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c r="AJ875" s="45"/>
      <c r="AK875" s="45"/>
      <c r="AL875" s="45"/>
      <c r="AM875" s="45"/>
      <c r="AN875" s="45"/>
      <c r="AO875" s="45"/>
      <c r="AP875" s="45"/>
      <c r="AQ875" s="45"/>
    </row>
    <row r="876" spans="1:43" ht="15.75" customHeight="1" x14ac:dyDescent="0.15">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c r="AJ876" s="45"/>
      <c r="AK876" s="45"/>
      <c r="AL876" s="45"/>
      <c r="AM876" s="45"/>
      <c r="AN876" s="45"/>
      <c r="AO876" s="45"/>
      <c r="AP876" s="45"/>
      <c r="AQ876" s="45"/>
    </row>
    <row r="877" spans="1:43" ht="15.75" customHeight="1" x14ac:dyDescent="0.15">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c r="AJ877" s="45"/>
      <c r="AK877" s="45"/>
      <c r="AL877" s="45"/>
      <c r="AM877" s="45"/>
      <c r="AN877" s="45"/>
      <c r="AO877" s="45"/>
      <c r="AP877" s="45"/>
      <c r="AQ877" s="45"/>
    </row>
    <row r="878" spans="1:43" ht="15.75" customHeight="1" x14ac:dyDescent="0.15">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c r="AJ878" s="45"/>
      <c r="AK878" s="45"/>
      <c r="AL878" s="45"/>
      <c r="AM878" s="45"/>
      <c r="AN878" s="45"/>
      <c r="AO878" s="45"/>
      <c r="AP878" s="45"/>
      <c r="AQ878" s="45"/>
    </row>
    <row r="879" spans="1:43" ht="15.75" customHeight="1" x14ac:dyDescent="0.15">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c r="AJ879" s="45"/>
      <c r="AK879" s="45"/>
      <c r="AL879" s="45"/>
      <c r="AM879" s="45"/>
      <c r="AN879" s="45"/>
      <c r="AO879" s="45"/>
      <c r="AP879" s="45"/>
      <c r="AQ879" s="45"/>
    </row>
    <row r="880" spans="1:43" ht="15.75" customHeight="1" x14ac:dyDescent="0.15">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c r="AJ880" s="45"/>
      <c r="AK880" s="45"/>
      <c r="AL880" s="45"/>
      <c r="AM880" s="45"/>
      <c r="AN880" s="45"/>
      <c r="AO880" s="45"/>
      <c r="AP880" s="45"/>
      <c r="AQ880" s="45"/>
    </row>
    <row r="881" spans="1:43" ht="15.75" customHeight="1" x14ac:dyDescent="0.15">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c r="AJ881" s="45"/>
      <c r="AK881" s="45"/>
      <c r="AL881" s="45"/>
      <c r="AM881" s="45"/>
      <c r="AN881" s="45"/>
      <c r="AO881" s="45"/>
      <c r="AP881" s="45"/>
      <c r="AQ881" s="45"/>
    </row>
    <row r="882" spans="1:43" ht="15.75" customHeight="1" x14ac:dyDescent="0.15">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c r="AJ882" s="45"/>
      <c r="AK882" s="45"/>
      <c r="AL882" s="45"/>
      <c r="AM882" s="45"/>
      <c r="AN882" s="45"/>
      <c r="AO882" s="45"/>
      <c r="AP882" s="45"/>
      <c r="AQ882" s="45"/>
    </row>
    <row r="883" spans="1:43" ht="15.75" customHeight="1" x14ac:dyDescent="0.15">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c r="AJ883" s="45"/>
      <c r="AK883" s="45"/>
      <c r="AL883" s="45"/>
      <c r="AM883" s="45"/>
      <c r="AN883" s="45"/>
      <c r="AO883" s="45"/>
      <c r="AP883" s="45"/>
      <c r="AQ883" s="45"/>
    </row>
    <row r="884" spans="1:43" ht="15.75" customHeight="1" x14ac:dyDescent="0.15">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c r="AJ884" s="45"/>
      <c r="AK884" s="45"/>
      <c r="AL884" s="45"/>
      <c r="AM884" s="45"/>
      <c r="AN884" s="45"/>
      <c r="AO884" s="45"/>
      <c r="AP884" s="45"/>
      <c r="AQ884" s="45"/>
    </row>
    <row r="885" spans="1:43" ht="15.75" customHeight="1" x14ac:dyDescent="0.1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c r="AJ885" s="45"/>
      <c r="AK885" s="45"/>
      <c r="AL885" s="45"/>
      <c r="AM885" s="45"/>
      <c r="AN885" s="45"/>
      <c r="AO885" s="45"/>
      <c r="AP885" s="45"/>
      <c r="AQ885" s="45"/>
    </row>
    <row r="886" spans="1:43" ht="15.75" customHeight="1" x14ac:dyDescent="0.15">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c r="AJ886" s="45"/>
      <c r="AK886" s="45"/>
      <c r="AL886" s="45"/>
      <c r="AM886" s="45"/>
      <c r="AN886" s="45"/>
      <c r="AO886" s="45"/>
      <c r="AP886" s="45"/>
      <c r="AQ886" s="45"/>
    </row>
    <row r="887" spans="1:43" ht="15.75" customHeight="1" x14ac:dyDescent="0.15">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c r="AJ887" s="45"/>
      <c r="AK887" s="45"/>
      <c r="AL887" s="45"/>
      <c r="AM887" s="45"/>
      <c r="AN887" s="45"/>
      <c r="AO887" s="45"/>
      <c r="AP887" s="45"/>
      <c r="AQ887" s="45"/>
    </row>
    <row r="888" spans="1:43" ht="15.75" customHeight="1" x14ac:dyDescent="0.15">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c r="AJ888" s="45"/>
      <c r="AK888" s="45"/>
      <c r="AL888" s="45"/>
      <c r="AM888" s="45"/>
      <c r="AN888" s="45"/>
      <c r="AO888" s="45"/>
      <c r="AP888" s="45"/>
      <c r="AQ888" s="45"/>
    </row>
    <row r="889" spans="1:43" ht="15.75" customHeight="1" x14ac:dyDescent="0.15">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c r="AJ889" s="45"/>
      <c r="AK889" s="45"/>
      <c r="AL889" s="45"/>
      <c r="AM889" s="45"/>
      <c r="AN889" s="45"/>
      <c r="AO889" s="45"/>
      <c r="AP889" s="45"/>
      <c r="AQ889" s="45"/>
    </row>
    <row r="890" spans="1:43" ht="15.75" customHeight="1" x14ac:dyDescent="0.15">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c r="AJ890" s="45"/>
      <c r="AK890" s="45"/>
      <c r="AL890" s="45"/>
      <c r="AM890" s="45"/>
      <c r="AN890" s="45"/>
      <c r="AO890" s="45"/>
      <c r="AP890" s="45"/>
      <c r="AQ890" s="45"/>
    </row>
    <row r="891" spans="1:43" ht="15.75" customHeight="1" x14ac:dyDescent="0.15">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c r="AJ891" s="45"/>
      <c r="AK891" s="45"/>
      <c r="AL891" s="45"/>
      <c r="AM891" s="45"/>
      <c r="AN891" s="45"/>
      <c r="AO891" s="45"/>
      <c r="AP891" s="45"/>
      <c r="AQ891" s="45"/>
    </row>
    <row r="892" spans="1:43" ht="15.75" customHeight="1" x14ac:dyDescent="0.15">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c r="AJ892" s="45"/>
      <c r="AK892" s="45"/>
      <c r="AL892" s="45"/>
      <c r="AM892" s="45"/>
      <c r="AN892" s="45"/>
      <c r="AO892" s="45"/>
      <c r="AP892" s="45"/>
      <c r="AQ892" s="45"/>
    </row>
    <row r="893" spans="1:43" ht="15.75" customHeight="1" x14ac:dyDescent="0.15">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c r="AJ893" s="45"/>
      <c r="AK893" s="45"/>
      <c r="AL893" s="45"/>
      <c r="AM893" s="45"/>
      <c r="AN893" s="45"/>
      <c r="AO893" s="45"/>
      <c r="AP893" s="45"/>
      <c r="AQ893" s="45"/>
    </row>
    <row r="894" spans="1:43" ht="15.75" customHeight="1" x14ac:dyDescent="0.15">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c r="AJ894" s="45"/>
      <c r="AK894" s="45"/>
      <c r="AL894" s="45"/>
      <c r="AM894" s="45"/>
      <c r="AN894" s="45"/>
      <c r="AO894" s="45"/>
      <c r="AP894" s="45"/>
      <c r="AQ894" s="45"/>
    </row>
    <row r="895" spans="1:43" ht="15.75" customHeight="1" x14ac:dyDescent="0.1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c r="AJ895" s="45"/>
      <c r="AK895" s="45"/>
      <c r="AL895" s="45"/>
      <c r="AM895" s="45"/>
      <c r="AN895" s="45"/>
      <c r="AO895" s="45"/>
      <c r="AP895" s="45"/>
      <c r="AQ895" s="45"/>
    </row>
    <row r="896" spans="1:43" ht="15.75" customHeight="1" x14ac:dyDescent="0.15">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c r="AJ896" s="45"/>
      <c r="AK896" s="45"/>
      <c r="AL896" s="45"/>
      <c r="AM896" s="45"/>
      <c r="AN896" s="45"/>
      <c r="AO896" s="45"/>
      <c r="AP896" s="45"/>
      <c r="AQ896" s="45"/>
    </row>
    <row r="897" spans="1:43" ht="15.75" customHeight="1" x14ac:dyDescent="0.15">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c r="AJ897" s="45"/>
      <c r="AK897" s="45"/>
      <c r="AL897" s="45"/>
      <c r="AM897" s="45"/>
      <c r="AN897" s="45"/>
      <c r="AO897" s="45"/>
      <c r="AP897" s="45"/>
      <c r="AQ897" s="45"/>
    </row>
    <row r="898" spans="1:43" ht="15.75" customHeight="1" x14ac:dyDescent="0.15">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c r="AJ898" s="45"/>
      <c r="AK898" s="45"/>
      <c r="AL898" s="45"/>
      <c r="AM898" s="45"/>
      <c r="AN898" s="45"/>
      <c r="AO898" s="45"/>
      <c r="AP898" s="45"/>
      <c r="AQ898" s="45"/>
    </row>
    <row r="899" spans="1:43" ht="15.75" customHeight="1" x14ac:dyDescent="0.15">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c r="AJ899" s="45"/>
      <c r="AK899" s="45"/>
      <c r="AL899" s="45"/>
      <c r="AM899" s="45"/>
      <c r="AN899" s="45"/>
      <c r="AO899" s="45"/>
      <c r="AP899" s="45"/>
      <c r="AQ899" s="45"/>
    </row>
    <row r="900" spans="1:43" ht="15.75" customHeight="1" x14ac:dyDescent="0.15">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c r="AJ900" s="45"/>
      <c r="AK900" s="45"/>
      <c r="AL900" s="45"/>
      <c r="AM900" s="45"/>
      <c r="AN900" s="45"/>
      <c r="AO900" s="45"/>
      <c r="AP900" s="45"/>
      <c r="AQ900" s="45"/>
    </row>
    <row r="901" spans="1:43" ht="15.75" customHeight="1" x14ac:dyDescent="0.15">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c r="AJ901" s="45"/>
      <c r="AK901" s="45"/>
      <c r="AL901" s="45"/>
      <c r="AM901" s="45"/>
      <c r="AN901" s="45"/>
      <c r="AO901" s="45"/>
      <c r="AP901" s="45"/>
      <c r="AQ901" s="45"/>
    </row>
    <row r="902" spans="1:43" ht="15.75" customHeight="1" x14ac:dyDescent="0.15">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c r="AJ902" s="45"/>
      <c r="AK902" s="45"/>
      <c r="AL902" s="45"/>
      <c r="AM902" s="45"/>
      <c r="AN902" s="45"/>
      <c r="AO902" s="45"/>
      <c r="AP902" s="45"/>
      <c r="AQ902" s="45"/>
    </row>
    <row r="903" spans="1:43" ht="15.75" customHeight="1" x14ac:dyDescent="0.15">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c r="AJ903" s="45"/>
      <c r="AK903" s="45"/>
      <c r="AL903" s="45"/>
      <c r="AM903" s="45"/>
      <c r="AN903" s="45"/>
      <c r="AO903" s="45"/>
      <c r="AP903" s="45"/>
      <c r="AQ903" s="45"/>
    </row>
    <row r="904" spans="1:43" ht="15.75" customHeight="1" x14ac:dyDescent="0.15">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c r="AJ904" s="45"/>
      <c r="AK904" s="45"/>
      <c r="AL904" s="45"/>
      <c r="AM904" s="45"/>
      <c r="AN904" s="45"/>
      <c r="AO904" s="45"/>
      <c r="AP904" s="45"/>
      <c r="AQ904" s="45"/>
    </row>
    <row r="905" spans="1:43" ht="15.75" customHeight="1" x14ac:dyDescent="0.1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c r="AJ905" s="45"/>
      <c r="AK905" s="45"/>
      <c r="AL905" s="45"/>
      <c r="AM905" s="45"/>
      <c r="AN905" s="45"/>
      <c r="AO905" s="45"/>
      <c r="AP905" s="45"/>
      <c r="AQ905" s="45"/>
    </row>
    <row r="906" spans="1:43" ht="15.75" customHeight="1" x14ac:dyDescent="0.15">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c r="AJ906" s="45"/>
      <c r="AK906" s="45"/>
      <c r="AL906" s="45"/>
      <c r="AM906" s="45"/>
      <c r="AN906" s="45"/>
      <c r="AO906" s="45"/>
      <c r="AP906" s="45"/>
      <c r="AQ906" s="45"/>
    </row>
    <row r="907" spans="1:43" ht="15.75" customHeight="1" x14ac:dyDescent="0.15">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c r="AJ907" s="45"/>
      <c r="AK907" s="45"/>
      <c r="AL907" s="45"/>
      <c r="AM907" s="45"/>
      <c r="AN907" s="45"/>
      <c r="AO907" s="45"/>
      <c r="AP907" s="45"/>
      <c r="AQ907" s="45"/>
    </row>
    <row r="908" spans="1:43" ht="15.75" customHeight="1" x14ac:dyDescent="0.15">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c r="AJ908" s="45"/>
      <c r="AK908" s="45"/>
      <c r="AL908" s="45"/>
      <c r="AM908" s="45"/>
      <c r="AN908" s="45"/>
      <c r="AO908" s="45"/>
      <c r="AP908" s="45"/>
      <c r="AQ908" s="45"/>
    </row>
    <row r="909" spans="1:43" ht="15.75" customHeight="1" x14ac:dyDescent="0.15">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c r="AJ909" s="45"/>
      <c r="AK909" s="45"/>
      <c r="AL909" s="45"/>
      <c r="AM909" s="45"/>
      <c r="AN909" s="45"/>
      <c r="AO909" s="45"/>
      <c r="AP909" s="45"/>
      <c r="AQ909" s="45"/>
    </row>
    <row r="910" spans="1:43" ht="15.75" customHeight="1" x14ac:dyDescent="0.15">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c r="AJ910" s="45"/>
      <c r="AK910" s="45"/>
      <c r="AL910" s="45"/>
      <c r="AM910" s="45"/>
      <c r="AN910" s="45"/>
      <c r="AO910" s="45"/>
      <c r="AP910" s="45"/>
      <c r="AQ910" s="45"/>
    </row>
    <row r="911" spans="1:43" ht="15.75" customHeight="1" x14ac:dyDescent="0.15">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c r="AJ911" s="45"/>
      <c r="AK911" s="45"/>
      <c r="AL911" s="45"/>
      <c r="AM911" s="45"/>
      <c r="AN911" s="45"/>
      <c r="AO911" s="45"/>
      <c r="AP911" s="45"/>
      <c r="AQ911" s="45"/>
    </row>
    <row r="912" spans="1:43" ht="15.75" customHeight="1" x14ac:dyDescent="0.15">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c r="AJ912" s="45"/>
      <c r="AK912" s="45"/>
      <c r="AL912" s="45"/>
      <c r="AM912" s="45"/>
      <c r="AN912" s="45"/>
      <c r="AO912" s="45"/>
      <c r="AP912" s="45"/>
      <c r="AQ912" s="45"/>
    </row>
    <row r="913" spans="1:43" ht="15.75" customHeight="1" x14ac:dyDescent="0.15">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c r="AJ913" s="45"/>
      <c r="AK913" s="45"/>
      <c r="AL913" s="45"/>
      <c r="AM913" s="45"/>
      <c r="AN913" s="45"/>
      <c r="AO913" s="45"/>
      <c r="AP913" s="45"/>
      <c r="AQ913" s="45"/>
    </row>
    <row r="914" spans="1:43" ht="15.75" customHeight="1" x14ac:dyDescent="0.15">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c r="AJ914" s="45"/>
      <c r="AK914" s="45"/>
      <c r="AL914" s="45"/>
      <c r="AM914" s="45"/>
      <c r="AN914" s="45"/>
      <c r="AO914" s="45"/>
      <c r="AP914" s="45"/>
      <c r="AQ914" s="45"/>
    </row>
    <row r="915" spans="1:43" ht="15.75" customHeight="1" x14ac:dyDescent="0.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c r="AJ915" s="45"/>
      <c r="AK915" s="45"/>
      <c r="AL915" s="45"/>
      <c r="AM915" s="45"/>
      <c r="AN915" s="45"/>
      <c r="AO915" s="45"/>
      <c r="AP915" s="45"/>
      <c r="AQ915" s="45"/>
    </row>
    <row r="916" spans="1:43" ht="15.75" customHeight="1" x14ac:dyDescent="0.15">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c r="AJ916" s="45"/>
      <c r="AK916" s="45"/>
      <c r="AL916" s="45"/>
      <c r="AM916" s="45"/>
      <c r="AN916" s="45"/>
      <c r="AO916" s="45"/>
      <c r="AP916" s="45"/>
      <c r="AQ916" s="45"/>
    </row>
    <row r="917" spans="1:43" ht="15.75" customHeight="1" x14ac:dyDescent="0.15">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c r="AJ917" s="45"/>
      <c r="AK917" s="45"/>
      <c r="AL917" s="45"/>
      <c r="AM917" s="45"/>
      <c r="AN917" s="45"/>
      <c r="AO917" s="45"/>
      <c r="AP917" s="45"/>
      <c r="AQ917" s="45"/>
    </row>
    <row r="918" spans="1:43" ht="15.75" customHeight="1" x14ac:dyDescent="0.15">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c r="AJ918" s="45"/>
      <c r="AK918" s="45"/>
      <c r="AL918" s="45"/>
      <c r="AM918" s="45"/>
      <c r="AN918" s="45"/>
      <c r="AO918" s="45"/>
      <c r="AP918" s="45"/>
      <c r="AQ918" s="45"/>
    </row>
    <row r="919" spans="1:43" ht="15.75" customHeight="1" x14ac:dyDescent="0.15">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c r="AJ919" s="45"/>
      <c r="AK919" s="45"/>
      <c r="AL919" s="45"/>
      <c r="AM919" s="45"/>
      <c r="AN919" s="45"/>
      <c r="AO919" s="45"/>
      <c r="AP919" s="45"/>
      <c r="AQ919" s="45"/>
    </row>
    <row r="920" spans="1:43" ht="15.75" customHeight="1" x14ac:dyDescent="0.15">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c r="AJ920" s="45"/>
      <c r="AK920" s="45"/>
      <c r="AL920" s="45"/>
      <c r="AM920" s="45"/>
      <c r="AN920" s="45"/>
      <c r="AO920" s="45"/>
      <c r="AP920" s="45"/>
      <c r="AQ920" s="45"/>
    </row>
    <row r="921" spans="1:43" ht="15.75" customHeight="1" x14ac:dyDescent="0.15">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c r="AJ921" s="45"/>
      <c r="AK921" s="45"/>
      <c r="AL921" s="45"/>
      <c r="AM921" s="45"/>
      <c r="AN921" s="45"/>
      <c r="AO921" s="45"/>
      <c r="AP921" s="45"/>
      <c r="AQ921" s="45"/>
    </row>
    <row r="922" spans="1:43" ht="15.75" customHeight="1" x14ac:dyDescent="0.15">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c r="AJ922" s="45"/>
      <c r="AK922" s="45"/>
      <c r="AL922" s="45"/>
      <c r="AM922" s="45"/>
      <c r="AN922" s="45"/>
      <c r="AO922" s="45"/>
      <c r="AP922" s="45"/>
      <c r="AQ922" s="45"/>
    </row>
    <row r="923" spans="1:43" ht="15.75" customHeight="1" x14ac:dyDescent="0.15">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c r="AJ923" s="45"/>
      <c r="AK923" s="45"/>
      <c r="AL923" s="45"/>
      <c r="AM923" s="45"/>
      <c r="AN923" s="45"/>
      <c r="AO923" s="45"/>
      <c r="AP923" s="45"/>
      <c r="AQ923" s="45"/>
    </row>
    <row r="924" spans="1:43" ht="15.75" customHeight="1" x14ac:dyDescent="0.15">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c r="AJ924" s="45"/>
      <c r="AK924" s="45"/>
      <c r="AL924" s="45"/>
      <c r="AM924" s="45"/>
      <c r="AN924" s="45"/>
      <c r="AO924" s="45"/>
      <c r="AP924" s="45"/>
      <c r="AQ924" s="45"/>
    </row>
    <row r="925" spans="1:43" ht="15.75" customHeight="1" x14ac:dyDescent="0.1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c r="AJ925" s="45"/>
      <c r="AK925" s="45"/>
      <c r="AL925" s="45"/>
      <c r="AM925" s="45"/>
      <c r="AN925" s="45"/>
      <c r="AO925" s="45"/>
      <c r="AP925" s="45"/>
      <c r="AQ925" s="45"/>
    </row>
    <row r="926" spans="1:43" ht="15.75" customHeight="1" x14ac:dyDescent="0.15">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c r="AJ926" s="45"/>
      <c r="AK926" s="45"/>
      <c r="AL926" s="45"/>
      <c r="AM926" s="45"/>
      <c r="AN926" s="45"/>
      <c r="AO926" s="45"/>
      <c r="AP926" s="45"/>
      <c r="AQ926" s="45"/>
    </row>
    <row r="927" spans="1:43" ht="15.75" customHeight="1" x14ac:dyDescent="0.15">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c r="AJ927" s="45"/>
      <c r="AK927" s="45"/>
      <c r="AL927" s="45"/>
      <c r="AM927" s="45"/>
      <c r="AN927" s="45"/>
      <c r="AO927" s="45"/>
      <c r="AP927" s="45"/>
      <c r="AQ927" s="45"/>
    </row>
    <row r="928" spans="1:43" ht="15.75" customHeight="1" x14ac:dyDescent="0.15">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c r="AJ928" s="45"/>
      <c r="AK928" s="45"/>
      <c r="AL928" s="45"/>
      <c r="AM928" s="45"/>
      <c r="AN928" s="45"/>
      <c r="AO928" s="45"/>
      <c r="AP928" s="45"/>
      <c r="AQ928" s="45"/>
    </row>
    <row r="929" spans="1:43" ht="15.75" customHeight="1" x14ac:dyDescent="0.15">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c r="AJ929" s="45"/>
      <c r="AK929" s="45"/>
      <c r="AL929" s="45"/>
      <c r="AM929" s="45"/>
      <c r="AN929" s="45"/>
      <c r="AO929" s="45"/>
      <c r="AP929" s="45"/>
      <c r="AQ929" s="45"/>
    </row>
    <row r="930" spans="1:43" ht="15.75" customHeight="1" x14ac:dyDescent="0.15">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c r="AJ930" s="45"/>
      <c r="AK930" s="45"/>
      <c r="AL930" s="45"/>
      <c r="AM930" s="45"/>
      <c r="AN930" s="45"/>
      <c r="AO930" s="45"/>
      <c r="AP930" s="45"/>
      <c r="AQ930" s="45"/>
    </row>
    <row r="931" spans="1:43" ht="15.75" customHeight="1" x14ac:dyDescent="0.15">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c r="AJ931" s="45"/>
      <c r="AK931" s="45"/>
      <c r="AL931" s="45"/>
      <c r="AM931" s="45"/>
      <c r="AN931" s="45"/>
      <c r="AO931" s="45"/>
      <c r="AP931" s="45"/>
      <c r="AQ931" s="45"/>
    </row>
    <row r="932" spans="1:43" ht="15.75" customHeight="1" x14ac:dyDescent="0.15">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c r="AJ932" s="45"/>
      <c r="AK932" s="45"/>
      <c r="AL932" s="45"/>
      <c r="AM932" s="45"/>
      <c r="AN932" s="45"/>
      <c r="AO932" s="45"/>
      <c r="AP932" s="45"/>
      <c r="AQ932" s="45"/>
    </row>
    <row r="933" spans="1:43" ht="15.75" customHeight="1" x14ac:dyDescent="0.15">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c r="AJ933" s="45"/>
      <c r="AK933" s="45"/>
      <c r="AL933" s="45"/>
      <c r="AM933" s="45"/>
      <c r="AN933" s="45"/>
      <c r="AO933" s="45"/>
      <c r="AP933" s="45"/>
      <c r="AQ933" s="45"/>
    </row>
    <row r="934" spans="1:43" ht="15.75" customHeight="1" x14ac:dyDescent="0.15">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c r="AJ934" s="45"/>
      <c r="AK934" s="45"/>
      <c r="AL934" s="45"/>
      <c r="AM934" s="45"/>
      <c r="AN934" s="45"/>
      <c r="AO934" s="45"/>
      <c r="AP934" s="45"/>
      <c r="AQ934" s="45"/>
    </row>
    <row r="935" spans="1:43" ht="15.75" customHeight="1" x14ac:dyDescent="0.1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c r="AJ935" s="45"/>
      <c r="AK935" s="45"/>
      <c r="AL935" s="45"/>
      <c r="AM935" s="45"/>
      <c r="AN935" s="45"/>
      <c r="AO935" s="45"/>
      <c r="AP935" s="45"/>
      <c r="AQ935" s="45"/>
    </row>
    <row r="936" spans="1:43" ht="15.75" customHeight="1" x14ac:dyDescent="0.15">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c r="AJ936" s="45"/>
      <c r="AK936" s="45"/>
      <c r="AL936" s="45"/>
      <c r="AM936" s="45"/>
      <c r="AN936" s="45"/>
      <c r="AO936" s="45"/>
      <c r="AP936" s="45"/>
      <c r="AQ936" s="45"/>
    </row>
    <row r="937" spans="1:43" ht="15.75" customHeight="1" x14ac:dyDescent="0.15">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c r="AJ937" s="45"/>
      <c r="AK937" s="45"/>
      <c r="AL937" s="45"/>
      <c r="AM937" s="45"/>
      <c r="AN937" s="45"/>
      <c r="AO937" s="45"/>
      <c r="AP937" s="45"/>
      <c r="AQ937" s="45"/>
    </row>
    <row r="938" spans="1:43" ht="15.75" customHeight="1" x14ac:dyDescent="0.15">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c r="AJ938" s="45"/>
      <c r="AK938" s="45"/>
      <c r="AL938" s="45"/>
      <c r="AM938" s="45"/>
      <c r="AN938" s="45"/>
      <c r="AO938" s="45"/>
      <c r="AP938" s="45"/>
      <c r="AQ938" s="45"/>
    </row>
    <row r="939" spans="1:43" ht="15.75" customHeight="1" x14ac:dyDescent="0.15">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c r="AJ939" s="45"/>
      <c r="AK939" s="45"/>
      <c r="AL939" s="45"/>
      <c r="AM939" s="45"/>
      <c r="AN939" s="45"/>
      <c r="AO939" s="45"/>
      <c r="AP939" s="45"/>
      <c r="AQ939" s="45"/>
    </row>
    <row r="940" spans="1:43" ht="15.75" customHeight="1" x14ac:dyDescent="0.15">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c r="AJ940" s="45"/>
      <c r="AK940" s="45"/>
      <c r="AL940" s="45"/>
      <c r="AM940" s="45"/>
      <c r="AN940" s="45"/>
      <c r="AO940" s="45"/>
      <c r="AP940" s="45"/>
      <c r="AQ940" s="45"/>
    </row>
    <row r="941" spans="1:43" ht="15.75" customHeight="1" x14ac:dyDescent="0.15">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c r="AJ941" s="45"/>
      <c r="AK941" s="45"/>
      <c r="AL941" s="45"/>
      <c r="AM941" s="45"/>
      <c r="AN941" s="45"/>
      <c r="AO941" s="45"/>
      <c r="AP941" s="45"/>
      <c r="AQ941" s="45"/>
    </row>
    <row r="942" spans="1:43" ht="15.75" customHeight="1" x14ac:dyDescent="0.15">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c r="AJ942" s="45"/>
      <c r="AK942" s="45"/>
      <c r="AL942" s="45"/>
      <c r="AM942" s="45"/>
      <c r="AN942" s="45"/>
      <c r="AO942" s="45"/>
      <c r="AP942" s="45"/>
      <c r="AQ942" s="45"/>
    </row>
    <row r="943" spans="1:43" ht="15.75" customHeight="1" x14ac:dyDescent="0.15">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c r="AJ943" s="45"/>
      <c r="AK943" s="45"/>
      <c r="AL943" s="45"/>
      <c r="AM943" s="45"/>
      <c r="AN943" s="45"/>
      <c r="AO943" s="45"/>
      <c r="AP943" s="45"/>
      <c r="AQ943" s="45"/>
    </row>
    <row r="944" spans="1:43" ht="15.75" customHeight="1" x14ac:dyDescent="0.15">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c r="AJ944" s="45"/>
      <c r="AK944" s="45"/>
      <c r="AL944" s="45"/>
      <c r="AM944" s="45"/>
      <c r="AN944" s="45"/>
      <c r="AO944" s="45"/>
      <c r="AP944" s="45"/>
      <c r="AQ944" s="45"/>
    </row>
    <row r="945" spans="1:43" ht="15.75" customHeight="1" x14ac:dyDescent="0.1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c r="AJ945" s="45"/>
      <c r="AK945" s="45"/>
      <c r="AL945" s="45"/>
      <c r="AM945" s="45"/>
      <c r="AN945" s="45"/>
      <c r="AO945" s="45"/>
      <c r="AP945" s="45"/>
      <c r="AQ945" s="45"/>
    </row>
    <row r="946" spans="1:43" ht="15.75" customHeight="1" x14ac:dyDescent="0.15">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c r="AJ946" s="45"/>
      <c r="AK946" s="45"/>
      <c r="AL946" s="45"/>
      <c r="AM946" s="45"/>
      <c r="AN946" s="45"/>
      <c r="AO946" s="45"/>
      <c r="AP946" s="45"/>
      <c r="AQ946" s="45"/>
    </row>
    <row r="947" spans="1:43" ht="15.75" customHeight="1" x14ac:dyDescent="0.15">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c r="AJ947" s="45"/>
      <c r="AK947" s="45"/>
      <c r="AL947" s="45"/>
      <c r="AM947" s="45"/>
      <c r="AN947" s="45"/>
      <c r="AO947" s="45"/>
      <c r="AP947" s="45"/>
      <c r="AQ947" s="45"/>
    </row>
    <row r="948" spans="1:43" ht="15.75" customHeight="1" x14ac:dyDescent="0.15">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c r="AJ948" s="45"/>
      <c r="AK948" s="45"/>
      <c r="AL948" s="45"/>
      <c r="AM948" s="45"/>
      <c r="AN948" s="45"/>
      <c r="AO948" s="45"/>
      <c r="AP948" s="45"/>
      <c r="AQ948" s="45"/>
    </row>
    <row r="949" spans="1:43" ht="15.75" customHeight="1" x14ac:dyDescent="0.15">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c r="AJ949" s="45"/>
      <c r="AK949" s="45"/>
      <c r="AL949" s="45"/>
      <c r="AM949" s="45"/>
      <c r="AN949" s="45"/>
      <c r="AO949" s="45"/>
      <c r="AP949" s="45"/>
      <c r="AQ949" s="45"/>
    </row>
    <row r="950" spans="1:43" ht="15.75" customHeight="1" x14ac:dyDescent="0.15">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c r="AJ950" s="45"/>
      <c r="AK950" s="45"/>
      <c r="AL950" s="45"/>
      <c r="AM950" s="45"/>
      <c r="AN950" s="45"/>
      <c r="AO950" s="45"/>
      <c r="AP950" s="45"/>
      <c r="AQ950" s="45"/>
    </row>
    <row r="951" spans="1:43" ht="15.75" customHeight="1" x14ac:dyDescent="0.15">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c r="AJ951" s="45"/>
      <c r="AK951" s="45"/>
      <c r="AL951" s="45"/>
      <c r="AM951" s="45"/>
      <c r="AN951" s="45"/>
      <c r="AO951" s="45"/>
      <c r="AP951" s="45"/>
      <c r="AQ951" s="45"/>
    </row>
    <row r="952" spans="1:43" ht="15.75" customHeight="1" x14ac:dyDescent="0.15">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c r="AJ952" s="45"/>
      <c r="AK952" s="45"/>
      <c r="AL952" s="45"/>
      <c r="AM952" s="45"/>
      <c r="AN952" s="45"/>
      <c r="AO952" s="45"/>
      <c r="AP952" s="45"/>
      <c r="AQ952" s="45"/>
    </row>
    <row r="953" spans="1:43" ht="15.75" customHeight="1" x14ac:dyDescent="0.15">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c r="AJ953" s="45"/>
      <c r="AK953" s="45"/>
      <c r="AL953" s="45"/>
      <c r="AM953" s="45"/>
      <c r="AN953" s="45"/>
      <c r="AO953" s="45"/>
      <c r="AP953" s="45"/>
      <c r="AQ953" s="45"/>
    </row>
    <row r="954" spans="1:43" ht="15.75" customHeight="1" x14ac:dyDescent="0.15">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c r="AJ954" s="45"/>
      <c r="AK954" s="45"/>
      <c r="AL954" s="45"/>
      <c r="AM954" s="45"/>
      <c r="AN954" s="45"/>
      <c r="AO954" s="45"/>
      <c r="AP954" s="45"/>
      <c r="AQ954" s="45"/>
    </row>
    <row r="955" spans="1:43" ht="15.75" customHeight="1" x14ac:dyDescent="0.1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c r="AJ955" s="45"/>
      <c r="AK955" s="45"/>
      <c r="AL955" s="45"/>
      <c r="AM955" s="45"/>
      <c r="AN955" s="45"/>
      <c r="AO955" s="45"/>
      <c r="AP955" s="45"/>
      <c r="AQ955" s="45"/>
    </row>
    <row r="956" spans="1:43" ht="15.75" customHeight="1" x14ac:dyDescent="0.15">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c r="AJ956" s="45"/>
      <c r="AK956" s="45"/>
      <c r="AL956" s="45"/>
      <c r="AM956" s="45"/>
      <c r="AN956" s="45"/>
      <c r="AO956" s="45"/>
      <c r="AP956" s="45"/>
      <c r="AQ956" s="45"/>
    </row>
    <row r="957" spans="1:43" ht="15.75" customHeight="1" x14ac:dyDescent="0.15">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c r="AJ957" s="45"/>
      <c r="AK957" s="45"/>
      <c r="AL957" s="45"/>
      <c r="AM957" s="45"/>
      <c r="AN957" s="45"/>
      <c r="AO957" s="45"/>
      <c r="AP957" s="45"/>
      <c r="AQ957" s="45"/>
    </row>
    <row r="958" spans="1:43" ht="15.75" customHeight="1" x14ac:dyDescent="0.15">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c r="AJ958" s="45"/>
      <c r="AK958" s="45"/>
      <c r="AL958" s="45"/>
      <c r="AM958" s="45"/>
      <c r="AN958" s="45"/>
      <c r="AO958" s="45"/>
      <c r="AP958" s="45"/>
      <c r="AQ958" s="45"/>
    </row>
    <row r="959" spans="1:43" ht="15.75" customHeight="1" x14ac:dyDescent="0.15">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c r="AJ959" s="45"/>
      <c r="AK959" s="45"/>
      <c r="AL959" s="45"/>
      <c r="AM959" s="45"/>
      <c r="AN959" s="45"/>
      <c r="AO959" s="45"/>
      <c r="AP959" s="45"/>
      <c r="AQ959" s="45"/>
    </row>
    <row r="960" spans="1:43" ht="15.75" customHeight="1" x14ac:dyDescent="0.15">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c r="AJ960" s="45"/>
      <c r="AK960" s="45"/>
      <c r="AL960" s="45"/>
      <c r="AM960" s="45"/>
      <c r="AN960" s="45"/>
      <c r="AO960" s="45"/>
      <c r="AP960" s="45"/>
      <c r="AQ960" s="45"/>
    </row>
    <row r="961" spans="1:43" ht="15.75" customHeight="1" x14ac:dyDescent="0.15">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c r="AJ961" s="45"/>
      <c r="AK961" s="45"/>
      <c r="AL961" s="45"/>
      <c r="AM961" s="45"/>
      <c r="AN961" s="45"/>
      <c r="AO961" s="45"/>
      <c r="AP961" s="45"/>
      <c r="AQ961" s="45"/>
    </row>
    <row r="962" spans="1:43" ht="15.75" customHeight="1" x14ac:dyDescent="0.15">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c r="AJ962" s="45"/>
      <c r="AK962" s="45"/>
      <c r="AL962" s="45"/>
      <c r="AM962" s="45"/>
      <c r="AN962" s="45"/>
      <c r="AO962" s="45"/>
      <c r="AP962" s="45"/>
      <c r="AQ962" s="45"/>
    </row>
    <row r="963" spans="1:43" ht="15.75" customHeight="1" x14ac:dyDescent="0.15">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c r="AJ963" s="45"/>
      <c r="AK963" s="45"/>
      <c r="AL963" s="45"/>
      <c r="AM963" s="45"/>
      <c r="AN963" s="45"/>
      <c r="AO963" s="45"/>
      <c r="AP963" s="45"/>
      <c r="AQ963" s="45"/>
    </row>
    <row r="964" spans="1:43" ht="15.75" customHeight="1" x14ac:dyDescent="0.15">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c r="AJ964" s="45"/>
      <c r="AK964" s="45"/>
      <c r="AL964" s="45"/>
      <c r="AM964" s="45"/>
      <c r="AN964" s="45"/>
      <c r="AO964" s="45"/>
      <c r="AP964" s="45"/>
      <c r="AQ964" s="45"/>
    </row>
    <row r="965" spans="1:43" ht="15.75" customHeight="1" x14ac:dyDescent="0.1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c r="AJ965" s="45"/>
      <c r="AK965" s="45"/>
      <c r="AL965" s="45"/>
      <c r="AM965" s="45"/>
      <c r="AN965" s="45"/>
      <c r="AO965" s="45"/>
      <c r="AP965" s="45"/>
      <c r="AQ965" s="45"/>
    </row>
    <row r="966" spans="1:43" ht="15.75" customHeight="1" x14ac:dyDescent="0.15">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c r="AJ966" s="45"/>
      <c r="AK966" s="45"/>
      <c r="AL966" s="45"/>
      <c r="AM966" s="45"/>
      <c r="AN966" s="45"/>
      <c r="AO966" s="45"/>
      <c r="AP966" s="45"/>
      <c r="AQ966" s="45"/>
    </row>
    <row r="967" spans="1:43" ht="15.75" customHeight="1" x14ac:dyDescent="0.15">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c r="AJ967" s="45"/>
      <c r="AK967" s="45"/>
      <c r="AL967" s="45"/>
      <c r="AM967" s="45"/>
      <c r="AN967" s="45"/>
      <c r="AO967" s="45"/>
      <c r="AP967" s="45"/>
      <c r="AQ967" s="45"/>
    </row>
    <row r="968" spans="1:43" ht="15.75" customHeight="1" x14ac:dyDescent="0.15">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c r="AJ968" s="45"/>
      <c r="AK968" s="45"/>
      <c r="AL968" s="45"/>
      <c r="AM968" s="45"/>
      <c r="AN968" s="45"/>
      <c r="AO968" s="45"/>
      <c r="AP968" s="45"/>
      <c r="AQ968" s="45"/>
    </row>
    <row r="969" spans="1:43" ht="15.75" customHeight="1" x14ac:dyDescent="0.15">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c r="AJ969" s="45"/>
      <c r="AK969" s="45"/>
      <c r="AL969" s="45"/>
      <c r="AM969" s="45"/>
      <c r="AN969" s="45"/>
      <c r="AO969" s="45"/>
      <c r="AP969" s="45"/>
      <c r="AQ969" s="45"/>
    </row>
    <row r="970" spans="1:43" ht="15.75" customHeight="1" x14ac:dyDescent="0.15">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c r="AJ970" s="45"/>
      <c r="AK970" s="45"/>
      <c r="AL970" s="45"/>
      <c r="AM970" s="45"/>
      <c r="AN970" s="45"/>
      <c r="AO970" s="45"/>
      <c r="AP970" s="45"/>
      <c r="AQ970" s="45"/>
    </row>
    <row r="971" spans="1:43" ht="15.75" customHeight="1" x14ac:dyDescent="0.15">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c r="AJ971" s="45"/>
      <c r="AK971" s="45"/>
      <c r="AL971" s="45"/>
      <c r="AM971" s="45"/>
      <c r="AN971" s="45"/>
      <c r="AO971" s="45"/>
      <c r="AP971" s="45"/>
      <c r="AQ971" s="45"/>
    </row>
    <row r="972" spans="1:43" ht="15.75" customHeight="1" x14ac:dyDescent="0.15">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c r="AJ972" s="45"/>
      <c r="AK972" s="45"/>
      <c r="AL972" s="45"/>
      <c r="AM972" s="45"/>
      <c r="AN972" s="45"/>
      <c r="AO972" s="45"/>
      <c r="AP972" s="45"/>
      <c r="AQ972" s="45"/>
    </row>
    <row r="973" spans="1:43" ht="15.75" customHeight="1" x14ac:dyDescent="0.15">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c r="AJ973" s="45"/>
      <c r="AK973" s="45"/>
      <c r="AL973" s="45"/>
      <c r="AM973" s="45"/>
      <c r="AN973" s="45"/>
      <c r="AO973" s="45"/>
      <c r="AP973" s="45"/>
      <c r="AQ973" s="45"/>
    </row>
    <row r="974" spans="1:43" ht="15.75" customHeight="1" x14ac:dyDescent="0.15">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c r="AJ974" s="45"/>
      <c r="AK974" s="45"/>
      <c r="AL974" s="45"/>
      <c r="AM974" s="45"/>
      <c r="AN974" s="45"/>
      <c r="AO974" s="45"/>
      <c r="AP974" s="45"/>
      <c r="AQ974" s="45"/>
    </row>
    <row r="975" spans="1:43" ht="15.75" customHeight="1" x14ac:dyDescent="0.1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c r="AJ975" s="45"/>
      <c r="AK975" s="45"/>
      <c r="AL975" s="45"/>
      <c r="AM975" s="45"/>
      <c r="AN975" s="45"/>
      <c r="AO975" s="45"/>
      <c r="AP975" s="45"/>
      <c r="AQ975" s="45"/>
    </row>
    <row r="976" spans="1:43" ht="15.75" customHeight="1" x14ac:dyDescent="0.15">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c r="AJ976" s="45"/>
      <c r="AK976" s="45"/>
      <c r="AL976" s="45"/>
      <c r="AM976" s="45"/>
      <c r="AN976" s="45"/>
      <c r="AO976" s="45"/>
      <c r="AP976" s="45"/>
      <c r="AQ976" s="45"/>
    </row>
    <row r="977" spans="1:43" ht="15.75" customHeight="1" x14ac:dyDescent="0.15">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c r="AJ977" s="45"/>
      <c r="AK977" s="45"/>
      <c r="AL977" s="45"/>
      <c r="AM977" s="45"/>
      <c r="AN977" s="45"/>
      <c r="AO977" s="45"/>
      <c r="AP977" s="45"/>
      <c r="AQ977" s="45"/>
    </row>
    <row r="978" spans="1:43" ht="15.75" customHeight="1" x14ac:dyDescent="0.15">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c r="AJ978" s="45"/>
      <c r="AK978" s="45"/>
      <c r="AL978" s="45"/>
      <c r="AM978" s="45"/>
      <c r="AN978" s="45"/>
      <c r="AO978" s="45"/>
      <c r="AP978" s="45"/>
      <c r="AQ978" s="45"/>
    </row>
    <row r="979" spans="1:43" ht="15.75" customHeight="1" x14ac:dyDescent="0.15">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c r="AJ979" s="45"/>
      <c r="AK979" s="45"/>
      <c r="AL979" s="45"/>
      <c r="AM979" s="45"/>
      <c r="AN979" s="45"/>
      <c r="AO979" s="45"/>
      <c r="AP979" s="45"/>
      <c r="AQ979" s="45"/>
    </row>
    <row r="980" spans="1:43" ht="15.75" customHeight="1" x14ac:dyDescent="0.15">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c r="AJ980" s="45"/>
      <c r="AK980" s="45"/>
      <c r="AL980" s="45"/>
      <c r="AM980" s="45"/>
      <c r="AN980" s="45"/>
      <c r="AO980" s="45"/>
      <c r="AP980" s="45"/>
      <c r="AQ980" s="45"/>
    </row>
    <row r="981" spans="1:43" ht="15.75" customHeight="1" x14ac:dyDescent="0.15">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c r="AJ981" s="45"/>
      <c r="AK981" s="45"/>
      <c r="AL981" s="45"/>
      <c r="AM981" s="45"/>
      <c r="AN981" s="45"/>
      <c r="AO981" s="45"/>
      <c r="AP981" s="45"/>
      <c r="AQ981" s="45"/>
    </row>
    <row r="982" spans="1:43" ht="15.75" customHeight="1" x14ac:dyDescent="0.15">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c r="AJ982" s="45"/>
      <c r="AK982" s="45"/>
      <c r="AL982" s="45"/>
      <c r="AM982" s="45"/>
      <c r="AN982" s="45"/>
      <c r="AO982" s="45"/>
      <c r="AP982" s="45"/>
      <c r="AQ982" s="45"/>
    </row>
    <row r="983" spans="1:43" ht="15.75" customHeight="1" x14ac:dyDescent="0.15">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c r="AJ983" s="45"/>
      <c r="AK983" s="45"/>
      <c r="AL983" s="45"/>
      <c r="AM983" s="45"/>
      <c r="AN983" s="45"/>
      <c r="AO983" s="45"/>
      <c r="AP983" s="45"/>
      <c r="AQ983" s="45"/>
    </row>
    <row r="984" spans="1:43" ht="15.75" customHeight="1" x14ac:dyDescent="0.15">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c r="AJ984" s="45"/>
      <c r="AK984" s="45"/>
      <c r="AL984" s="45"/>
      <c r="AM984" s="45"/>
      <c r="AN984" s="45"/>
      <c r="AO984" s="45"/>
      <c r="AP984" s="45"/>
      <c r="AQ984" s="45"/>
    </row>
    <row r="985" spans="1:43" ht="15.75" customHeight="1" x14ac:dyDescent="0.1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c r="AJ985" s="45"/>
      <c r="AK985" s="45"/>
      <c r="AL985" s="45"/>
      <c r="AM985" s="45"/>
      <c r="AN985" s="45"/>
      <c r="AO985" s="45"/>
      <c r="AP985" s="45"/>
      <c r="AQ985" s="45"/>
    </row>
    <row r="986" spans="1:43" ht="15.75" customHeight="1" x14ac:dyDescent="0.15">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c r="AJ986" s="45"/>
      <c r="AK986" s="45"/>
      <c r="AL986" s="45"/>
      <c r="AM986" s="45"/>
      <c r="AN986" s="45"/>
      <c r="AO986" s="45"/>
      <c r="AP986" s="45"/>
      <c r="AQ986" s="45"/>
    </row>
    <row r="987" spans="1:43" ht="15.75" customHeight="1" x14ac:dyDescent="0.15">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c r="AJ987" s="45"/>
      <c r="AK987" s="45"/>
      <c r="AL987" s="45"/>
      <c r="AM987" s="45"/>
      <c r="AN987" s="45"/>
      <c r="AO987" s="45"/>
      <c r="AP987" s="45"/>
      <c r="AQ987" s="45"/>
    </row>
    <row r="988" spans="1:43" ht="15.75" customHeight="1" x14ac:dyDescent="0.15">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c r="AJ988" s="45"/>
      <c r="AK988" s="45"/>
      <c r="AL988" s="45"/>
      <c r="AM988" s="45"/>
      <c r="AN988" s="45"/>
      <c r="AO988" s="45"/>
      <c r="AP988" s="45"/>
      <c r="AQ988" s="45"/>
    </row>
    <row r="989" spans="1:43" ht="15.75" customHeight="1" x14ac:dyDescent="0.15">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c r="AJ989" s="45"/>
      <c r="AK989" s="45"/>
      <c r="AL989" s="45"/>
      <c r="AM989" s="45"/>
      <c r="AN989" s="45"/>
      <c r="AO989" s="45"/>
      <c r="AP989" s="45"/>
      <c r="AQ989" s="45"/>
    </row>
    <row r="990" spans="1:43" ht="15.75" customHeight="1" x14ac:dyDescent="0.15">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c r="AJ990" s="45"/>
      <c r="AK990" s="45"/>
      <c r="AL990" s="45"/>
      <c r="AM990" s="45"/>
      <c r="AN990" s="45"/>
      <c r="AO990" s="45"/>
      <c r="AP990" s="45"/>
      <c r="AQ990" s="45"/>
    </row>
    <row r="991" spans="1:43" ht="15.75" customHeight="1" x14ac:dyDescent="0.15">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c r="AJ991" s="45"/>
      <c r="AK991" s="45"/>
      <c r="AL991" s="45"/>
      <c r="AM991" s="45"/>
      <c r="AN991" s="45"/>
      <c r="AO991" s="45"/>
      <c r="AP991" s="45"/>
      <c r="AQ991" s="45"/>
    </row>
    <row r="992" spans="1:43" ht="15.75" customHeight="1" x14ac:dyDescent="0.15">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c r="AJ992" s="45"/>
      <c r="AK992" s="45"/>
      <c r="AL992" s="45"/>
      <c r="AM992" s="45"/>
      <c r="AN992" s="45"/>
      <c r="AO992" s="45"/>
      <c r="AP992" s="45"/>
      <c r="AQ992" s="45"/>
    </row>
    <row r="993" spans="1:43" ht="15.75" customHeight="1" x14ac:dyDescent="0.15">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c r="AJ993" s="45"/>
      <c r="AK993" s="45"/>
      <c r="AL993" s="45"/>
      <c r="AM993" s="45"/>
      <c r="AN993" s="45"/>
      <c r="AO993" s="45"/>
      <c r="AP993" s="45"/>
      <c r="AQ993" s="45"/>
    </row>
    <row r="994" spans="1:43" ht="15.75" customHeight="1" x14ac:dyDescent="0.15">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c r="AJ994" s="45"/>
      <c r="AK994" s="45"/>
      <c r="AL994" s="45"/>
      <c r="AM994" s="45"/>
      <c r="AN994" s="45"/>
      <c r="AO994" s="45"/>
      <c r="AP994" s="45"/>
      <c r="AQ994" s="45"/>
    </row>
    <row r="995" spans="1:43" ht="15.75" customHeight="1" x14ac:dyDescent="0.1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c r="AJ995" s="45"/>
      <c r="AK995" s="45"/>
      <c r="AL995" s="45"/>
      <c r="AM995" s="45"/>
      <c r="AN995" s="45"/>
      <c r="AO995" s="45"/>
      <c r="AP995" s="45"/>
      <c r="AQ995" s="45"/>
    </row>
  </sheetData>
  <mergeCells count="16">
    <mergeCell ref="AQ1:AQ2"/>
    <mergeCell ref="A1:A2"/>
    <mergeCell ref="B1:B2"/>
    <mergeCell ref="C1:G1"/>
    <mergeCell ref="H1:H2"/>
    <mergeCell ref="I1:M1"/>
    <mergeCell ref="N1:N2"/>
    <mergeCell ref="T1:T2"/>
    <mergeCell ref="O1:S1"/>
    <mergeCell ref="U1:X1"/>
    <mergeCell ref="Z1:AD1"/>
    <mergeCell ref="AF1:AJ1"/>
    <mergeCell ref="AL1:AP1"/>
    <mergeCell ref="Y1:Y2"/>
    <mergeCell ref="AE1:AE2"/>
    <mergeCell ref="AK1:AK2"/>
  </mergeCells>
  <dataValidations count="8">
    <dataValidation type="list" allowBlank="1" showErrorMessage="1" sqref="C29:C31 I29:I31 O29:O31 U29:U31 Z29:Z31 AF29:AF31 AL29:AL31" xr:uid="{00000000-0002-0000-0300-000000000000}">
      <formula1>"Tdap (Total),No Tdap,Tdap (0-13wks GA),Tdap (27-36wks GA)"</formula1>
    </dataValidation>
    <dataValidation type="list" allowBlank="1" showErrorMessage="1" sqref="C45:C46 I45:I46 O45:O46 U45:U46 Z45:Z46 AF45:AF46 AL45:AL46" xr:uid="{00000000-0002-0000-0300-000001000000}">
      <formula1>"Vaccinated 20-24w GA,Vaccinated 30-33w GA,Unvaccinated"</formula1>
    </dataValidation>
    <dataValidation type="list" allowBlank="1" showErrorMessage="1" sqref="C41:C42 I41:I42 O41:O42 U41:U42 Z41:Z42 AF41:AF42 AL41:AL42 C47 I47 O47 U47 Z47 AF47 AL47" xr:uid="{00000000-0002-0000-0300-000002000000}">
      <formula1>"Vaccinated,Unvaccinated"</formula1>
    </dataValidation>
    <dataValidation type="list" allowBlank="1" showErrorMessage="1" sqref="C37:C40 I37:I40 O37:O40 U37:U40 Z37:Z40 AF37:AF40 AL37:AL40" xr:uid="{00000000-0002-0000-0300-000003000000}">
      <formula1>"Tdap- HIV+,Tdap- HIV-,Td- HIV+,Td- HIV-"</formula1>
    </dataValidation>
    <dataValidation type="list" allowBlank="1" showErrorMessage="1" sqref="C54:C55 I54:I55 O54:O55 U54:U55 Z54:Z55 AF54:AF55 AL54:AL55" xr:uid="{00000000-0002-0000-0300-000004000000}">
      <formula1>"Tdap (Prospective US),Tdap (Prospective World)"</formula1>
    </dataValidation>
    <dataValidation type="list" allowBlank="1" showErrorMessage="1" sqref="C3:C18 I3:I18 O3:O18 U3:U18 Z3:Z18 AF3:AF18 AL3:AL18 C23:C28 I23:I28 O23:O28 U23:U28 Z23:Z28 AF23:AF28 AL23:AL28 C32:C36 I32:I36 O32:O36 U32:U36 Z32:Z36 AF32:AF36 AL32:AL36 C43:C44 I43:I44 O43:O44 U43:U44 Z43:Z44 AF43:AF44 AL43:AL44 C48:C53 I48:I53 O48:O53 U48:U53 Z48:Z53 AF48:AF53 AL48:AL53 C56:C59 I56:I59 O56:O59 U56:U59 Z56:Z59 AF56:AF59 AL56:AL59 C62:C66 I62:I66 O62:O66 U62:U66 Z62:Z66 AF62:AF66 AL62:AL66" xr:uid="{00000000-0002-0000-0300-000005000000}">
      <formula1>"Tdap,No Tdap"</formula1>
    </dataValidation>
    <dataValidation type="list" allowBlank="1" showErrorMessage="1" sqref="C60:C61 I60:I61 O60:O61 U60:U61 Z60:Z61 AF60:AF61 AL60:AL61" xr:uid="{00000000-0002-0000-0300-000006000000}">
      <formula1>"Tdap,Unvaccinated,Vaccinated,Td"</formula1>
    </dataValidation>
    <dataValidation type="list" allowBlank="1" showErrorMessage="1" sqref="C19:C22 I19:I22 O19:O22 U19:U22 Z19:Z22 AF19:AF22 AL19:AL22" xr:uid="{00000000-0002-0000-0300-000007000000}">
      <formula1>"Tdap - Pregnancy,No Tdap - Pregnany,Tdap - prenatal,No Tdap- prenatal"</formula1>
    </dataValidation>
  </dataValidations>
  <pageMargins left="0.7" right="0.7" top="0.75" bottom="0.75" header="0" footer="0"/>
  <pageSetup orientation="landscape"/>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Characteristics</vt:lpstr>
      <vt:lpstr>Effectiveness</vt:lpstr>
      <vt:lpstr>Safety - Adults</vt:lpstr>
      <vt:lpstr>Safety - Infants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Abers</cp:lastModifiedBy>
  <dcterms:created xsi:type="dcterms:W3CDTF">2026-04-23T20:54:14Z</dcterms:created>
  <dcterms:modified xsi:type="dcterms:W3CDTF">2026-04-30T17:31:36Z</dcterms:modified>
</cp:coreProperties>
</file>